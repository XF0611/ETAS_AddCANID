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2.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01_WorkArea\ETAS_BIP_PT_ARCMW_11.1_CAL60S244AB_CAR921\Docs\IntegrationTest\"/>
    </mc:Choice>
  </mc:AlternateContent>
  <xr:revisionPtr revIDLastSave="0" documentId="13_ncr:1_{BB67E7A9-0601-4F3D-9581-BCFCAB8014C3}" xr6:coauthVersionLast="47" xr6:coauthVersionMax="47" xr10:uidLastSave="{00000000-0000-0000-0000-000000000000}"/>
  <bookViews>
    <workbookView xWindow="28680" yWindow="-120" windowWidth="29040" windowHeight="15840" tabRatio="570" activeTab="2" xr2:uid="{00000000-000D-0000-FFFF-FFFF00000000}"/>
  </bookViews>
  <sheets>
    <sheet name="Meta Data" sheetId="4" r:id="rId1"/>
    <sheet name="Overview" sheetId="2" r:id="rId2"/>
    <sheet name="Summary" sheetId="5" r:id="rId3"/>
    <sheet name="Test specification" sheetId="1" state="hidden" r:id="rId4"/>
    <sheet name="TCXX" sheetId="15" r:id="rId5"/>
    <sheet name="Data" sheetId="3" r:id="rId6"/>
    <sheet name="ReadMe" sheetId="16" r:id="rId7"/>
    <sheet name="TC_1" sheetId="108" r:id="rId8"/>
  </sheets>
  <functionGroups builtInGroupCount="19"/>
  <definedNames>
    <definedName name="LastTestCaseSheetID">Data!$G$3</definedName>
    <definedName name="_xlnm.Print_Area" localSheetId="7">TC_1!$A$1:$F$26</definedName>
    <definedName name="_xlnm.Print_Area" localSheetId="4">TCXX!$A$1:$F$24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4" l="1"/>
  <c r="A1" i="16" l="1"/>
  <c r="A1" i="3"/>
  <c r="A1" i="5"/>
  <c r="M7" i="5" l="1"/>
  <c r="M6" i="5"/>
  <c r="M4" i="5"/>
  <c r="M5" i="5"/>
  <c r="D6" i="5" l="1"/>
  <c r="C6" i="5"/>
  <c r="B6" i="5"/>
  <c r="A6" i="5"/>
  <c r="A1" i="2" l="1"/>
  <c r="A1" i="108" s="1"/>
  <c r="B2" i="4"/>
  <c r="B4" i="4"/>
  <c r="A1" i="15" l="1"/>
  <c r="A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Nguyen Hoai Nam</author>
  </authors>
  <commentList>
    <comment ref="P2" authorId="0" shapeId="0" xr:uid="{00000000-0006-0000-0300-000001000000}">
      <text>
        <r>
          <rPr>
            <b/>
            <sz val="9"/>
            <color indexed="81"/>
            <rFont val="Tahoma"/>
            <family val="2"/>
          </rPr>
          <t>Nguyen Hoai Nam:</t>
        </r>
        <r>
          <rPr>
            <sz val="9"/>
            <color indexed="81"/>
            <rFont val="Tahoma"/>
            <family val="2"/>
          </rPr>
          <t xml:space="preserve">
Pass
Fail
NA</t>
        </r>
      </text>
    </comment>
  </commentList>
</comments>
</file>

<file path=xl/sharedStrings.xml><?xml version="1.0" encoding="utf-8"?>
<sst xmlns="http://schemas.openxmlformats.org/spreadsheetml/2006/main" count="229" uniqueCount="152">
  <si>
    <t>TestResult</t>
  </si>
  <si>
    <t>Test Logs</t>
  </si>
  <si>
    <t>PASSED</t>
  </si>
  <si>
    <t>Note</t>
  </si>
  <si>
    <t>No test log</t>
  </si>
  <si>
    <t>on testlog folder</t>
  </si>
  <si>
    <t>Test Case
ID</t>
  </si>
  <si>
    <t>General information</t>
  </si>
  <si>
    <t>Scope of testing</t>
  </si>
  <si>
    <t>Unit testing</t>
  </si>
  <si>
    <t>Integration testing</t>
  </si>
  <si>
    <t>Release testing</t>
  </si>
  <si>
    <t>Test tools used</t>
  </si>
  <si>
    <t>Version</t>
  </si>
  <si>
    <t>Regression testing</t>
  </si>
  <si>
    <t>Test bench setup</t>
  </si>
  <si>
    <t>Test Framework</t>
  </si>
  <si>
    <t>Test Workspace</t>
  </si>
  <si>
    <t>Requirements trace</t>
  </si>
  <si>
    <t>Test case description</t>
  </si>
  <si>
    <t>Test case derived based on</t>
  </si>
  <si>
    <t>Method used for testing</t>
  </si>
  <si>
    <t>Test type</t>
  </si>
  <si>
    <t>Test design</t>
  </si>
  <si>
    <t>Analysis of requirements</t>
  </si>
  <si>
    <t>Error guessing</t>
  </si>
  <si>
    <t>Generation and analysis of equivalance lasses</t>
  </si>
  <si>
    <t>Analysis of boundary values</t>
  </si>
  <si>
    <t>Test result</t>
  </si>
  <si>
    <t>Passed</t>
  </si>
  <si>
    <t>Failed</t>
  </si>
  <si>
    <t>Not Run</t>
  </si>
  <si>
    <t xml:space="preserve">&lt;Test design shall describe the following&gt;
• test build and required stubs 
• processes executed to prove functionality
• processes provided for setup, cleanup, data capture 
</t>
  </si>
  <si>
    <t>Manual/  Automatic</t>
  </si>
  <si>
    <t>Requirement based
Interface test
Fault injection test</t>
  </si>
  <si>
    <t>Analysis of requirements
Error guessing
Generation and analysis of equivalence classes
Analysis of boundary values</t>
  </si>
  <si>
    <t>&lt;information on the requirements ID which is implemented by this test case&gt;</t>
  </si>
  <si>
    <t>detailed description of test case</t>
  </si>
  <si>
    <t>Unique identifier to differentiate the test case</t>
  </si>
  <si>
    <t>Range and value of outputs</t>
  </si>
  <si>
    <t>Range and value of inputs</t>
  </si>
  <si>
    <t xml:space="preserve">• Parameters including type, size, and content
• Messages including type, size and content
</t>
  </si>
  <si>
    <t>Initial conditions</t>
  </si>
  <si>
    <t xml:space="preserve">• Software builds without errors or warnings.
• Software is successfully loaded on the test platform
• All tools settings required to perform manual or automated tests
• All Software states required for testing 
• All Hardware states required for testing
</t>
  </si>
  <si>
    <t>Acceptance criteria</t>
  </si>
  <si>
    <t xml:space="preserve">• Actual results are logged and saved as an attachment to the test case
• Actual results meet expected results without deviation from the test steps.
</t>
  </si>
  <si>
    <t>Test steps</t>
  </si>
  <si>
    <t>Expected results</t>
  </si>
  <si>
    <t>Actual results</t>
  </si>
  <si>
    <t>Document Meta Data:</t>
  </si>
  <si>
    <t>Project Name (opt.)</t>
  </si>
  <si>
    <t>Project Number (opt.)</t>
  </si>
  <si>
    <t>Document Name</t>
  </si>
  <si>
    <t>Document Responsible</t>
  </si>
  <si>
    <t>Document Status</t>
  </si>
  <si>
    <t>Note: Press F9 to update the automatic calculated fields</t>
  </si>
  <si>
    <t>Note: Version history is updated automatic, when new Meeting is generated.</t>
  </si>
  <si>
    <t>Author</t>
  </si>
  <si>
    <t>Date</t>
  </si>
  <si>
    <t>Change</t>
  </si>
  <si>
    <t>01</t>
  </si>
  <si>
    <t>Initial version</t>
  </si>
  <si>
    <t>Test specification</t>
  </si>
  <si>
    <t>Software version under test</t>
  </si>
  <si>
    <t>document the version of SW  tested by this test case</t>
  </si>
  <si>
    <t>Test step description</t>
  </si>
  <si>
    <t>Test step Number</t>
  </si>
  <si>
    <t>Total number of test cases</t>
  </si>
  <si>
    <t>Number passed</t>
  </si>
  <si>
    <t>Number failed</t>
  </si>
  <si>
    <t>Number Not-run</t>
  </si>
  <si>
    <t>Last Test Case Sheet ID</t>
  </si>
  <si>
    <t>Instructions</t>
  </si>
  <si>
    <r>
      <rPr>
        <b/>
        <sz val="14"/>
        <color theme="1"/>
        <rFont val="Arial"/>
        <family val="2"/>
      </rPr>
      <t>Overview tab</t>
    </r>
    <r>
      <rPr>
        <sz val="10"/>
        <color theme="1"/>
        <rFont val="Arial"/>
        <family val="2"/>
      </rPr>
      <t xml:space="preserve">
Overview tab shall be updatd to provide basic information on the scope of testing and test infrastructure required to perform testing.
To insert test  cases,  select </t>
    </r>
    <r>
      <rPr>
        <b/>
        <sz val="10"/>
        <color rgb="FFFF0000"/>
        <rFont val="Arial"/>
        <family val="2"/>
      </rPr>
      <t>"Insert Test case"</t>
    </r>
    <r>
      <rPr>
        <sz val="10"/>
        <rFont val="Arial"/>
        <family val="2"/>
      </rPr>
      <t xml:space="preserve">. This will create additional tabs for test cases based on the template </t>
    </r>
    <r>
      <rPr>
        <b/>
        <sz val="10"/>
        <color rgb="FFFF0000"/>
        <rFont val="Arial"/>
        <family val="2"/>
      </rPr>
      <t>"TCXX"</t>
    </r>
    <r>
      <rPr>
        <sz val="10"/>
        <rFont val="Arial"/>
        <family val="2"/>
      </rPr>
      <t xml:space="preserve"> tab (e.g. TC01, TC02)</t>
    </r>
  </si>
  <si>
    <t>Summary - Test execution history</t>
  </si>
  <si>
    <r>
      <t xml:space="preserve">Summary tab
</t>
    </r>
    <r>
      <rPr>
        <b/>
        <sz val="10"/>
        <color theme="1"/>
        <rFont val="Arial"/>
        <family val="2"/>
      </rPr>
      <t xml:space="preserve">
</t>
    </r>
    <r>
      <rPr>
        <sz val="10"/>
        <color theme="1"/>
        <rFont val="Arial"/>
        <family val="2"/>
      </rPr>
      <t xml:space="preserve">Summary tab provides overview of results of test cases. Summary shall be generated by selecting </t>
    </r>
    <r>
      <rPr>
        <b/>
        <sz val="10"/>
        <color rgb="FFFF0000"/>
        <rFont val="Arial"/>
        <family val="2"/>
      </rPr>
      <t>"Update Test results"</t>
    </r>
    <r>
      <rPr>
        <sz val="10"/>
        <color theme="1"/>
        <rFont val="Arial"/>
        <family val="2"/>
      </rPr>
      <t xml:space="preserve"> </t>
    </r>
    <r>
      <rPr>
        <sz val="10"/>
        <rFont val="Arial"/>
        <family val="2"/>
      </rPr>
      <t>. This function gathers resutls of the test cases (test case ID, description, requirements id and test result status and updates the Summary tab.</t>
    </r>
    <r>
      <rPr>
        <b/>
        <sz val="10"/>
        <color theme="1"/>
        <rFont val="Arial"/>
        <family val="2"/>
      </rPr>
      <t xml:space="preserve">
</t>
    </r>
  </si>
  <si>
    <r>
      <t xml:space="preserve">TCXX tab
</t>
    </r>
    <r>
      <rPr>
        <sz val="10"/>
        <color theme="1"/>
        <rFont val="Arial"/>
        <family val="2"/>
      </rPr>
      <t xml:space="preserve">A standard template for test case contents is provided here. If there are any changes to the template required, the project manager shall review the changes with PPQA prior to implementation.
</t>
    </r>
  </si>
  <si>
    <t>Overview</t>
  </si>
  <si>
    <t>Summary</t>
  </si>
  <si>
    <r>
      <t xml:space="preserve">Data tab
</t>
    </r>
    <r>
      <rPr>
        <sz val="10"/>
        <color theme="1"/>
        <rFont val="Arial"/>
        <family val="2"/>
      </rPr>
      <t xml:space="preserve">
Data tab provides the input required for each test case. If the TCXX template is modified,, then the corresponding drop down values shall be updated in Data tab
The field "</t>
    </r>
    <r>
      <rPr>
        <b/>
        <sz val="10"/>
        <color rgb="FFFF0000"/>
        <rFont val="Arial"/>
        <family val="2"/>
      </rPr>
      <t>Last Test Case Sheet ID</t>
    </r>
    <r>
      <rPr>
        <sz val="10"/>
        <color theme="1"/>
        <rFont val="Arial"/>
        <family val="2"/>
      </rPr>
      <t xml:space="preserve">" shall be used as a basis to order the test case with sequential number. (for e.g. - if you like the test case numbering to start with 001, then update the </t>
    </r>
    <r>
      <rPr>
        <b/>
        <sz val="10"/>
        <color rgb="FFFF0000"/>
        <rFont val="Arial"/>
        <family val="2"/>
      </rPr>
      <t>cell G3</t>
    </r>
    <r>
      <rPr>
        <sz val="10"/>
        <color theme="1"/>
        <rFont val="Arial"/>
        <family val="2"/>
      </rPr>
      <t xml:space="preserve"> with </t>
    </r>
    <r>
      <rPr>
        <b/>
        <sz val="10"/>
        <color rgb="FFFF0000"/>
        <rFont val="Arial"/>
        <family val="2"/>
      </rPr>
      <t>001</t>
    </r>
    <r>
      <rPr>
        <sz val="10"/>
        <color theme="1"/>
        <rFont val="Arial"/>
        <family val="2"/>
      </rPr>
      <t>)</t>
    </r>
  </si>
  <si>
    <r>
      <t xml:space="preserve">TC_ n tab
</t>
    </r>
    <r>
      <rPr>
        <sz val="10"/>
        <color theme="1"/>
        <rFont val="Arial"/>
        <family val="2"/>
      </rPr>
      <t xml:space="preserve">
Based on number of test cases required, this "TC_ n" tab is incremented by selecting the</t>
    </r>
    <r>
      <rPr>
        <sz val="10"/>
        <color rgb="FFFF0000"/>
        <rFont val="Arial"/>
        <family val="2"/>
      </rPr>
      <t xml:space="preserve"> "</t>
    </r>
    <r>
      <rPr>
        <b/>
        <sz val="10"/>
        <color rgb="FFFF0000"/>
        <rFont val="Arial"/>
        <family val="2"/>
      </rPr>
      <t>Insert Test case</t>
    </r>
    <r>
      <rPr>
        <sz val="10"/>
        <color rgb="FFFF0000"/>
        <rFont val="Arial"/>
        <family val="2"/>
      </rPr>
      <t>"</t>
    </r>
    <r>
      <rPr>
        <sz val="10"/>
        <color theme="1"/>
        <rFont val="Arial"/>
        <family val="2"/>
      </rPr>
      <t xml:space="preserve"> option in </t>
    </r>
    <r>
      <rPr>
        <b/>
        <sz val="10"/>
        <color rgb="FFFF0000"/>
        <rFont val="Arial"/>
        <family val="2"/>
      </rPr>
      <t>"Overview"</t>
    </r>
    <r>
      <rPr>
        <sz val="10"/>
        <color theme="1"/>
        <rFont val="Arial"/>
        <family val="2"/>
      </rPr>
      <t xml:space="preserve"> tab  (e.g. 1 - 100). 
The test cases tab has a link to "</t>
    </r>
    <r>
      <rPr>
        <b/>
        <sz val="10"/>
        <color rgb="FFFF0000"/>
        <rFont val="Arial"/>
        <family val="2"/>
      </rPr>
      <t>Summary"</t>
    </r>
    <r>
      <rPr>
        <sz val="10"/>
        <color theme="1"/>
        <rFont val="Arial"/>
        <family val="2"/>
      </rPr>
      <t xml:space="preserve"> tab through a clickable link </t>
    </r>
  </si>
  <si>
    <t>Test level</t>
  </si>
  <si>
    <t>Test technique</t>
  </si>
  <si>
    <t>Unit</t>
  </si>
  <si>
    <t>Equivalence Partitioning</t>
  </si>
  <si>
    <t>Functional</t>
  </si>
  <si>
    <t>Integration</t>
  </si>
  <si>
    <t>Boundary Value</t>
  </si>
  <si>
    <t>Non-Functional</t>
  </si>
  <si>
    <t>Release</t>
  </si>
  <si>
    <t xml:space="preserve"> Decision Table</t>
  </si>
  <si>
    <t>White-Box Testing</t>
  </si>
  <si>
    <t>Acceptance</t>
  </si>
  <si>
    <t>State Transition</t>
  </si>
  <si>
    <t>Use Case</t>
  </si>
  <si>
    <t xml:space="preserve"> Statement-Branch-Decision-Condition Coverage</t>
  </si>
  <si>
    <t>Checklist</t>
  </si>
  <si>
    <t xml:space="preserve"> Exploratory</t>
  </si>
  <si>
    <t xml:space="preserve"> Error Guessing</t>
  </si>
  <si>
    <t>Fault Injection</t>
  </si>
  <si>
    <t>Test case objective</t>
  </si>
  <si>
    <t>&lt;detailed description of the focus or aim of the test, for example to prove tolerance to fault injection, to prove the correctness of an interface or correct behavior of the system, satisfaction of a requirement&gt;</t>
  </si>
  <si>
    <t>Failure Severity</t>
  </si>
  <si>
    <t>&lt;High, Medium, Low&gt; this could be evaluated with risk-based analysis, if there are high risk tests not passing delivery may be canceled</t>
  </si>
  <si>
    <t xml:space="preserve">&lt;requirement or requirement Link- depending on implementation of automation&gt; </t>
  </si>
  <si>
    <t>Equivalence Partitioning, Boundary Value, Decision Table, State Transition, Use Case, Statement-Branch-Decision-Condition Coverage, Checklist, Exploratory, Error Guessing, Fault Injection</t>
  </si>
  <si>
    <t xml:space="preserve"> &lt;Functional, Non-Functional (performance, stress, reliability, load…), White-Box Testing&gt;</t>
  </si>
  <si>
    <t xml:space="preserve">&lt;Unit, Integration, System, Acceptance&gt;
</t>
  </si>
  <si>
    <t>Inputs</t>
  </si>
  <si>
    <t>Tools used</t>
  </si>
  <si>
    <t>Lauterbach + Trace 32</t>
  </si>
  <si>
    <t xml:space="preserve">LA-3500 
TRACE32 R.2016.02.000072893
</t>
  </si>
  <si>
    <t>N.A</t>
  </si>
  <si>
    <t>Scons v3.0.1, Python v2.7</t>
  </si>
  <si>
    <t>Scripts</t>
  </si>
  <si>
    <t>Low</t>
  </si>
  <si>
    <t>Hardware</t>
  </si>
  <si>
    <t>Target</t>
  </si>
  <si>
    <t>Released</t>
  </si>
  <si>
    <t>- Software is implemented as delivery package.
- Software is flashed and running.
- All hardware connection are establish.
Info: about how to flash software as well as hardware setup, please follow each Test case.</t>
  </si>
  <si>
    <t>n.a.</t>
  </si>
  <si>
    <t>Calterah</t>
  </si>
  <si>
    <t>Prepare the hardware and power supply, and set voltage is 12V.</t>
  </si>
  <si>
    <t>Double clicking .\TOOLS\T32\run.bat.</t>
  </si>
  <si>
    <t>T32 is started and stops at reset entry "_arc_reset".</t>
  </si>
  <si>
    <t>.\Test_Result\TC_01_01.png</t>
  </si>
  <si>
    <t>ECU is power on, the os tasks are running for a while.</t>
  </si>
  <si>
    <t>Software stops at this break point.</t>
  </si>
  <si>
    <t>Weifu Calterah</t>
  </si>
  <si>
    <t>• Software builds without errors or warnings.
• Software is successfully loaded on the test platform</t>
  </si>
  <si>
    <t>Tan Yang</t>
  </si>
  <si>
    <t>ETAS_BIP_PT_ARCMW_11.1_CAL60S244AB_CAR921</t>
  </si>
  <si>
    <t>ETAS_ARC_TC_DcmPgmReset_01</t>
  </si>
  <si>
    <t>Dcm progression request reset test</t>
  </si>
  <si>
    <t>After softwware running for a while, trigger Dcm programming session request and  perform reset sequence as expected.</t>
  </si>
  <si>
    <t>Software is running with BIP CAN messages received in BusMaster periodicly.</t>
  </si>
  <si>
    <t>.\Test_Result\TC_02_01.png</t>
  </si>
  <si>
    <t>Set the break point at function "Dcm_SetProgConditions" then run the software with CAN Bus Monitor tool (BusMaster) connected to ECU CAN cable via. ES581.4</t>
  </si>
  <si>
    <t>Send below UDSonCAN messages from BusMaster to ECU with CAN ID 0x740
[02 10 03]
[02 85 02]
[03 28 03 03]
[02 10 02]</t>
  </si>
  <si>
    <t>.\Test_Result\TC_02_02.png
.\Test_Result\TC_02_03.png</t>
  </si>
  <si>
    <t>Set the break point at function "EcuM_GoDown" which is triggered by Dcm programming session to BswM action for reset.</t>
  </si>
  <si>
    <t>Software stops at break point of EcuM_GoDown.</t>
  </si>
  <si>
    <t>.\Test_Result\TC_02_04.png</t>
  </si>
  <si>
    <t>Software stops at break point of NvM_Integration_WriteAll.</t>
  </si>
  <si>
    <t>Set the break point at function "NvM_Integration_WriteAll" who is called from EcuM_Shutdown EcuM_OnGoOffTwo to write programming request flag into NVM before reset.</t>
  </si>
  <si>
    <t>.\Test_Result\TC_02_05.png</t>
  </si>
  <si>
    <t>Set the break point at function "Mcu_PerformReset" who is called from EcuM_AL_Reset.</t>
  </si>
  <si>
    <t>Software stops at break point of Mcu_PerformReset.</t>
  </si>
  <si>
    <t>.\Test_Result\TC_02_06.png</t>
  </si>
  <si>
    <t>Remove all breakpoint and Run the software from Mcu_PerformReset.</t>
  </si>
  <si>
    <t>ECU reset occurs and TRACE32 debug port disconnected.</t>
  </si>
  <si>
    <t>.\Test_Result\TC_02_07.png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</si>
</sst>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yyyy\-mm\-dd"/>
  </numFmts>
  <fonts count="35" x14ac:knownFonts="1">
    <font>
      <sz val="10"/>
      <color theme="1"/>
      <name val="Arial"/>
      <family val="2"/>
    </font>
    <font>
      <sz val="10"/>
      <color rgb="FF006100"/>
      <name val="Arial"/>
      <family val="2"/>
    </font>
    <font>
      <sz val="10"/>
      <color rgb="FF9C0006"/>
      <name val="Arial"/>
      <family val="2"/>
    </font>
    <font>
      <b/>
      <sz val="12"/>
      <color indexed="9"/>
      <name val="Calibri"/>
      <family val="2"/>
    </font>
    <font>
      <b/>
      <sz val="11"/>
      <color indexed="8"/>
      <name val="Calibri"/>
      <family val="2"/>
    </font>
    <font>
      <sz val="11"/>
      <color indexed="8"/>
      <name val="Calibri"/>
      <family val="2"/>
    </font>
    <font>
      <b/>
      <sz val="10"/>
      <name val="Arial"/>
      <family val="2"/>
    </font>
    <font>
      <b/>
      <sz val="9"/>
      <color indexed="81"/>
      <name val="Tahoma"/>
      <family val="2"/>
    </font>
    <font>
      <sz val="9"/>
      <color indexed="81"/>
      <name val="Tahoma"/>
      <family val="2"/>
    </font>
    <font>
      <b/>
      <sz val="10"/>
      <color theme="1"/>
      <name val="Arial"/>
      <family val="2"/>
    </font>
    <font>
      <b/>
      <sz val="20"/>
      <color indexed="9"/>
      <name val="Bosch Office Sans"/>
      <family val="2"/>
    </font>
    <font>
      <b/>
      <sz val="16"/>
      <color indexed="9"/>
      <name val="Bosch Office Sans"/>
      <family val="2"/>
    </font>
    <font>
      <sz val="10"/>
      <name val="Bosch Office Sans"/>
      <family val="2"/>
    </font>
    <font>
      <sz val="10"/>
      <color theme="0"/>
      <name val="Bosch Office Sans"/>
      <family val="2"/>
    </font>
    <font>
      <sz val="12"/>
      <color theme="1"/>
      <name val="Arial"/>
      <family val="2"/>
    </font>
    <font>
      <i/>
      <sz val="8"/>
      <color indexed="9"/>
      <name val="Calibri"/>
      <family val="2"/>
    </font>
    <font>
      <sz val="10"/>
      <name val="Tahoma"/>
      <family val="2"/>
    </font>
    <font>
      <b/>
      <sz val="20"/>
      <color indexed="9"/>
      <name val="Tahoma"/>
      <family val="2"/>
    </font>
    <font>
      <b/>
      <sz val="20"/>
      <name val="Tahoma"/>
      <family val="2"/>
    </font>
    <font>
      <sz val="16"/>
      <color indexed="55"/>
      <name val="Tahoma"/>
      <family val="2"/>
    </font>
    <font>
      <sz val="18"/>
      <name val="Tahoma"/>
      <family val="2"/>
    </font>
    <font>
      <b/>
      <sz val="10"/>
      <name val="Tahoma"/>
      <family val="2"/>
    </font>
    <font>
      <sz val="10"/>
      <color indexed="22"/>
      <name val="Tahoma"/>
      <family val="2"/>
    </font>
    <font>
      <sz val="10"/>
      <name val="Arial"/>
      <family val="2"/>
    </font>
    <font>
      <u/>
      <sz val="8"/>
      <name val="Tahoma"/>
      <family val="2"/>
    </font>
    <font>
      <u/>
      <sz val="10"/>
      <name val="Tahoma"/>
      <family val="2"/>
    </font>
    <font>
      <b/>
      <sz val="10"/>
      <color indexed="10"/>
      <name val="Tahoma"/>
      <family val="2"/>
    </font>
    <font>
      <i/>
      <sz val="8"/>
      <color theme="1"/>
      <name val="Arial"/>
      <family val="2"/>
    </font>
    <font>
      <b/>
      <sz val="10"/>
      <name val="Bosch Office Sans"/>
      <family val="2"/>
    </font>
    <font>
      <b/>
      <sz val="16"/>
      <color rgb="FFFFFFFF"/>
      <name val="Bosch Office Sans"/>
      <family val="2"/>
    </font>
    <font>
      <sz val="10"/>
      <color rgb="FF000000"/>
      <name val="Arial"/>
      <family val="2"/>
    </font>
    <font>
      <sz val="10"/>
      <color rgb="FFFF0000"/>
      <name val="Arial"/>
      <family val="2"/>
    </font>
    <font>
      <b/>
      <sz val="10"/>
      <color rgb="FFFF0000"/>
      <name val="Arial"/>
      <family val="2"/>
    </font>
    <font>
      <b/>
      <sz val="14"/>
      <color theme="1"/>
      <name val="Arial"/>
      <family val="2"/>
    </font>
    <font>
      <b/>
      <u/>
      <sz val="10"/>
      <color theme="0"/>
      <name val="Tahoma"/>
      <family val="2"/>
    </font>
  </fonts>
  <fills count="14">
    <fill>
      <patternFill patternType="none"/>
    </fill>
    <fill>
      <patternFill patternType="gray125"/>
    </fill>
    <fill>
      <patternFill patternType="solid">
        <fgColor rgb="FFC6EFCE"/>
      </patternFill>
    </fill>
    <fill>
      <patternFill patternType="solid">
        <fgColor rgb="FFFFC7CE"/>
      </patternFill>
    </fill>
    <fill>
      <patternFill patternType="solid">
        <fgColor indexed="9"/>
        <bgColor auto="1"/>
      </patternFill>
    </fill>
    <fill>
      <patternFill patternType="solid">
        <fgColor theme="0"/>
        <bgColor indexed="64"/>
      </patternFill>
    </fill>
    <fill>
      <patternFill patternType="solid">
        <fgColor theme="4" tint="-0.249977111117893"/>
        <bgColor indexed="64"/>
      </patternFill>
    </fill>
    <fill>
      <patternFill patternType="solid">
        <fgColor theme="4" tint="-0.499984740745262"/>
        <bgColor indexed="64"/>
      </patternFill>
    </fill>
    <fill>
      <patternFill patternType="solid">
        <fgColor indexed="22"/>
        <bgColor indexed="64"/>
      </patternFill>
    </fill>
    <fill>
      <patternFill patternType="solid">
        <fgColor indexed="9"/>
        <bgColor indexed="64"/>
      </patternFill>
    </fill>
    <fill>
      <patternFill patternType="solid">
        <fgColor indexed="27"/>
        <bgColor indexed="64"/>
      </patternFill>
    </fill>
    <fill>
      <patternFill patternType="solid">
        <fgColor theme="0" tint="-0.14999847407452621"/>
        <bgColor indexed="64"/>
      </patternFill>
    </fill>
    <fill>
      <patternFill patternType="solid">
        <fgColor rgb="FF5D7298"/>
        <bgColor rgb="FF000000"/>
      </patternFill>
    </fill>
    <fill>
      <patternFill patternType="solid">
        <fgColor theme="0" tint="-0.249977111117893"/>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style="dashed">
        <color indexed="22"/>
      </left>
      <right/>
      <top style="dashed">
        <color indexed="22"/>
      </top>
      <bottom style="thin">
        <color indexed="22"/>
      </bottom>
      <diagonal/>
    </border>
    <border>
      <left/>
      <right/>
      <top style="dashed">
        <color indexed="22"/>
      </top>
      <bottom style="thin">
        <color indexed="22"/>
      </bottom>
      <diagonal/>
    </border>
    <border>
      <left/>
      <right style="dashed">
        <color indexed="22"/>
      </right>
      <top style="dashed">
        <color indexed="22"/>
      </top>
      <bottom style="thin">
        <color indexed="22"/>
      </bottom>
      <diagonal/>
    </border>
    <border>
      <left/>
      <right style="thin">
        <color indexed="64"/>
      </right>
      <top style="thin">
        <color indexed="64"/>
      </top>
      <bottom style="thin">
        <color indexed="64"/>
      </bottom>
      <diagonal/>
    </border>
  </borders>
  <cellStyleXfs count="6">
    <xf numFmtId="0" fontId="0" fillId="0" borderId="0"/>
    <xf numFmtId="0" fontId="1" fillId="2" borderId="0" applyNumberFormat="0" applyBorder="0" applyAlignment="0" applyProtection="0"/>
    <xf numFmtId="0" fontId="2" fillId="3" borderId="0" applyNumberFormat="0" applyBorder="0" applyAlignment="0" applyProtection="0"/>
    <xf numFmtId="0" fontId="16" fillId="0" borderId="0">
      <alignment vertical="top"/>
    </xf>
    <xf numFmtId="0" fontId="23" fillId="0" borderId="0"/>
    <xf numFmtId="0" fontId="24" fillId="0" borderId="0" applyNumberFormat="0" applyFill="0" applyBorder="0" applyAlignment="0" applyProtection="0">
      <alignment vertical="top"/>
      <protection locked="0"/>
    </xf>
  </cellStyleXfs>
  <cellXfs count="108">
    <xf numFmtId="0" fontId="0" fillId="0" borderId="0" xfId="0"/>
    <xf numFmtId="49" fontId="0" fillId="4" borderId="1" xfId="0" applyNumberFormat="1" applyFont="1" applyFill="1" applyBorder="1" applyAlignment="1">
      <alignment vertical="top" wrapText="1"/>
    </xf>
    <xf numFmtId="49" fontId="5" fillId="4" borderId="1" xfId="0" applyNumberFormat="1" applyFont="1" applyFill="1" applyBorder="1" applyAlignment="1">
      <alignment vertical="top" wrapText="1"/>
    </xf>
    <xf numFmtId="49" fontId="0" fillId="4" borderId="1" xfId="0" applyNumberFormat="1" applyFont="1" applyFill="1" applyBorder="1" applyAlignment="1">
      <alignment vertical="top"/>
    </xf>
    <xf numFmtId="49" fontId="0" fillId="4" borderId="1" xfId="0" applyNumberFormat="1" applyFont="1" applyFill="1" applyBorder="1" applyAlignment="1">
      <alignment horizontal="left" vertical="top" wrapText="1"/>
    </xf>
    <xf numFmtId="49" fontId="4" fillId="4" borderId="1" xfId="0" applyNumberFormat="1" applyFont="1" applyFill="1" applyBorder="1" applyAlignment="1">
      <alignment vertical="center" wrapText="1"/>
    </xf>
    <xf numFmtId="49" fontId="0" fillId="4" borderId="1" xfId="0" applyNumberFormat="1" applyFont="1" applyFill="1" applyBorder="1" applyAlignment="1">
      <alignment horizontal="left" vertical="center" wrapText="1"/>
    </xf>
    <xf numFmtId="49" fontId="0" fillId="4" borderId="1" xfId="0" applyNumberFormat="1" applyFont="1" applyFill="1" applyBorder="1" applyAlignment="1">
      <alignment vertical="center" wrapText="1"/>
    </xf>
    <xf numFmtId="49" fontId="1" fillId="2" borderId="1" xfId="1" applyNumberFormat="1" applyBorder="1" applyAlignment="1">
      <alignment vertical="top" wrapText="1"/>
    </xf>
    <xf numFmtId="0" fontId="0" fillId="0" borderId="1" xfId="0" applyBorder="1" applyAlignment="1">
      <alignment vertical="top" wrapText="1"/>
    </xf>
    <xf numFmtId="49" fontId="6" fillId="5" borderId="1" xfId="1" applyNumberFormat="1" applyFont="1" applyFill="1" applyBorder="1" applyAlignment="1">
      <alignment vertical="center" wrapText="1"/>
    </xf>
    <xf numFmtId="49" fontId="6" fillId="5" borderId="1" xfId="2" applyNumberFormat="1" applyFont="1" applyFill="1" applyBorder="1" applyAlignment="1">
      <alignment vertical="center" wrapText="1"/>
    </xf>
    <xf numFmtId="49" fontId="0" fillId="0" borderId="1" xfId="0" applyNumberFormat="1" applyFont="1" applyFill="1" applyBorder="1" applyAlignment="1">
      <alignment horizontal="left" vertical="center" wrapText="1"/>
    </xf>
    <xf numFmtId="49" fontId="0" fillId="0" borderId="1" xfId="0" applyNumberFormat="1" applyFont="1" applyFill="1" applyBorder="1" applyAlignment="1">
      <alignment vertical="center" wrapText="1"/>
    </xf>
    <xf numFmtId="49" fontId="0" fillId="4" borderId="1" xfId="0" applyNumberFormat="1" applyFont="1" applyFill="1" applyBorder="1" applyAlignment="1">
      <alignment vertical="center"/>
    </xf>
    <xf numFmtId="49" fontId="1" fillId="2" borderId="1" xfId="1" applyNumberFormat="1" applyBorder="1" applyAlignment="1">
      <alignment vertical="top"/>
    </xf>
    <xf numFmtId="49" fontId="5" fillId="4" borderId="1" xfId="0" applyNumberFormat="1" applyFont="1" applyFill="1" applyBorder="1" applyAlignment="1">
      <alignment vertical="center" wrapText="1"/>
    </xf>
    <xf numFmtId="0" fontId="14" fillId="0" borderId="0" xfId="0" applyFont="1"/>
    <xf numFmtId="0" fontId="0" fillId="0" borderId="0" xfId="0" applyAlignment="1">
      <alignment wrapText="1"/>
    </xf>
    <xf numFmtId="0" fontId="9" fillId="0" borderId="0" xfId="0" applyFont="1"/>
    <xf numFmtId="49" fontId="4" fillId="4" borderId="11" xfId="0" applyNumberFormat="1" applyFont="1" applyFill="1" applyBorder="1" applyAlignment="1">
      <alignment vertical="center" wrapText="1"/>
    </xf>
    <xf numFmtId="49" fontId="0" fillId="4" borderId="11" xfId="0" applyNumberFormat="1" applyFont="1" applyFill="1" applyBorder="1" applyAlignment="1">
      <alignment horizontal="left" vertical="center" wrapText="1"/>
    </xf>
    <xf numFmtId="49" fontId="0" fillId="4" borderId="11" xfId="0" applyNumberFormat="1" applyFont="1" applyFill="1" applyBorder="1" applyAlignment="1">
      <alignment vertical="center" wrapText="1"/>
    </xf>
    <xf numFmtId="49" fontId="0" fillId="4" borderId="11" xfId="0" applyNumberFormat="1" applyFont="1" applyFill="1" applyBorder="1" applyAlignment="1">
      <alignment vertical="top" wrapText="1"/>
    </xf>
    <xf numFmtId="49" fontId="5" fillId="4" borderId="11" xfId="0" applyNumberFormat="1" applyFont="1" applyFill="1" applyBorder="1" applyAlignment="1">
      <alignment vertical="top" wrapText="1"/>
    </xf>
    <xf numFmtId="49" fontId="1" fillId="2" borderId="11" xfId="1" applyNumberFormat="1" applyBorder="1" applyAlignment="1">
      <alignment vertical="top" wrapText="1"/>
    </xf>
    <xf numFmtId="0" fontId="0" fillId="0" borderId="11" xfId="0" applyNumberFormat="1" applyFont="1" applyBorder="1" applyAlignment="1">
      <alignment horizontal="center" vertical="top"/>
    </xf>
    <xf numFmtId="49" fontId="3" fillId="6" borderId="1" xfId="0" applyNumberFormat="1" applyFont="1" applyFill="1" applyBorder="1" applyAlignment="1">
      <alignment horizontal="center" vertical="center" wrapText="1"/>
    </xf>
    <xf numFmtId="49" fontId="15" fillId="6" borderId="1" xfId="0" applyNumberFormat="1" applyFont="1" applyFill="1" applyBorder="1" applyAlignment="1">
      <alignment horizontal="left" vertical="center" wrapText="1"/>
    </xf>
    <xf numFmtId="0" fontId="0" fillId="0" borderId="0" xfId="0" applyAlignment="1">
      <alignment vertical="center" wrapText="1"/>
    </xf>
    <xf numFmtId="0" fontId="0" fillId="9" borderId="0" xfId="3" applyFont="1" applyFill="1" applyProtection="1">
      <alignment vertical="top"/>
      <protection locked="0"/>
    </xf>
    <xf numFmtId="0" fontId="18" fillId="9" borderId="0" xfId="3" applyFont="1" applyFill="1" applyAlignment="1" applyProtection="1">
      <alignment vertical="center"/>
      <protection locked="0"/>
    </xf>
    <xf numFmtId="0" fontId="0" fillId="9" borderId="0" xfId="3" applyFont="1" applyFill="1" applyAlignment="1" applyProtection="1">
      <alignment vertical="center"/>
      <protection locked="0"/>
    </xf>
    <xf numFmtId="0" fontId="20" fillId="9" borderId="0" xfId="3" applyFont="1" applyFill="1" applyAlignment="1" applyProtection="1">
      <alignment horizontal="center" vertical="top"/>
      <protection locked="0"/>
    </xf>
    <xf numFmtId="0" fontId="0" fillId="9" borderId="0" xfId="3" applyFont="1" applyFill="1" applyAlignment="1" applyProtection="1">
      <alignment horizontal="center" vertical="top"/>
      <protection locked="0"/>
    </xf>
    <xf numFmtId="0" fontId="0" fillId="10" borderId="12" xfId="3" applyFont="1" applyFill="1" applyBorder="1" applyAlignment="1" applyProtection="1">
      <alignment horizontal="left"/>
      <protection locked="0"/>
    </xf>
    <xf numFmtId="49" fontId="22" fillId="9" borderId="0" xfId="3" applyNumberFormat="1" applyFont="1" applyFill="1" applyProtection="1">
      <alignment vertical="top"/>
      <protection locked="0"/>
    </xf>
    <xf numFmtId="0" fontId="0" fillId="9" borderId="0" xfId="3" applyFont="1" applyFill="1" applyBorder="1" applyAlignment="1" applyProtection="1">
      <alignment horizontal="left"/>
      <protection locked="0"/>
    </xf>
    <xf numFmtId="49" fontId="0" fillId="9" borderId="0" xfId="3" applyNumberFormat="1" applyFont="1" applyFill="1" applyProtection="1">
      <alignment vertical="top"/>
      <protection locked="0"/>
    </xf>
    <xf numFmtId="0" fontId="0" fillId="9" borderId="15" xfId="3" applyFont="1" applyFill="1" applyBorder="1" applyProtection="1">
      <alignment vertical="top"/>
      <protection locked="0"/>
    </xf>
    <xf numFmtId="0" fontId="0" fillId="9" borderId="16" xfId="3" applyFont="1" applyFill="1" applyBorder="1" applyProtection="1">
      <alignment vertical="top"/>
      <protection locked="0"/>
    </xf>
    <xf numFmtId="0" fontId="0" fillId="9" borderId="17" xfId="3" applyFont="1" applyFill="1" applyBorder="1" applyProtection="1">
      <alignment vertical="top"/>
      <protection locked="0"/>
    </xf>
    <xf numFmtId="49" fontId="21" fillId="10" borderId="12" xfId="4" applyNumberFormat="1" applyFont="1" applyFill="1" applyBorder="1" applyAlignment="1" applyProtection="1">
      <alignment horizontal="center" vertical="center" wrapText="1"/>
      <protection locked="0"/>
    </xf>
    <xf numFmtId="164" fontId="0" fillId="9" borderId="0" xfId="3" applyNumberFormat="1" applyFont="1" applyFill="1" applyProtection="1">
      <alignment vertical="top"/>
      <protection locked="0"/>
    </xf>
    <xf numFmtId="1" fontId="0" fillId="0" borderId="12" xfId="4" applyNumberFormat="1" applyFont="1" applyBorder="1" applyAlignment="1" applyProtection="1">
      <alignment horizontal="center" vertical="top" wrapText="1"/>
      <protection locked="0"/>
    </xf>
    <xf numFmtId="15" fontId="16" fillId="0" borderId="12" xfId="4" applyNumberFormat="1" applyFont="1" applyBorder="1" applyAlignment="1" applyProtection="1">
      <alignment horizontal="center" vertical="top" wrapText="1"/>
      <protection locked="0"/>
    </xf>
    <xf numFmtId="165" fontId="25" fillId="0" borderId="12" xfId="5" applyNumberFormat="1" applyFont="1" applyBorder="1" applyAlignment="1" applyProtection="1">
      <alignment horizontal="center" vertical="top" wrapText="1"/>
      <protection locked="0"/>
    </xf>
    <xf numFmtId="0" fontId="0" fillId="0" borderId="12" xfId="4" applyNumberFormat="1" applyFont="1" applyBorder="1" applyAlignment="1" applyProtection="1">
      <alignment horizontal="left" vertical="top" wrapText="1"/>
      <protection locked="0"/>
    </xf>
    <xf numFmtId="0" fontId="26" fillId="9" borderId="0" xfId="3" applyFont="1" applyFill="1" applyAlignment="1" applyProtection="1">
      <alignment vertical="top" wrapText="1"/>
      <protection locked="0"/>
    </xf>
    <xf numFmtId="0" fontId="0" fillId="9" borderId="0" xfId="3" applyFont="1" applyFill="1" applyAlignment="1" applyProtection="1">
      <alignment vertical="top" wrapText="1"/>
      <protection locked="0"/>
    </xf>
    <xf numFmtId="0" fontId="0" fillId="0" borderId="12" xfId="4" applyNumberFormat="1" applyFont="1" applyBorder="1" applyAlignment="1" applyProtection="1">
      <alignment horizontal="center" vertical="top" wrapText="1"/>
      <protection locked="0"/>
    </xf>
    <xf numFmtId="0" fontId="9" fillId="0" borderId="1" xfId="0" applyFont="1" applyBorder="1" applyAlignment="1">
      <alignment wrapText="1"/>
    </xf>
    <xf numFmtId="0" fontId="27" fillId="0" borderId="1" xfId="0" applyFont="1" applyBorder="1" applyAlignment="1">
      <alignment wrapText="1"/>
    </xf>
    <xf numFmtId="0" fontId="0" fillId="0" borderId="1" xfId="0" applyBorder="1"/>
    <xf numFmtId="0" fontId="0" fillId="0" borderId="1" xfId="0" applyBorder="1" applyAlignment="1">
      <alignment wrapText="1"/>
    </xf>
    <xf numFmtId="0" fontId="28" fillId="11" borderId="3" xfId="0" applyFont="1" applyFill="1" applyBorder="1" applyAlignment="1">
      <alignment vertical="center"/>
    </xf>
    <xf numFmtId="0" fontId="28" fillId="11" borderId="1" xfId="0" applyFont="1" applyFill="1" applyBorder="1" applyAlignment="1">
      <alignment vertical="center"/>
    </xf>
    <xf numFmtId="0" fontId="0" fillId="13" borderId="1" xfId="0" applyFill="1" applyBorder="1"/>
    <xf numFmtId="0" fontId="0" fillId="13" borderId="1" xfId="0" applyFill="1" applyBorder="1" applyAlignment="1">
      <alignment wrapText="1"/>
    </xf>
    <xf numFmtId="0" fontId="9" fillId="0" borderId="0" xfId="0" applyFont="1" applyAlignment="1">
      <alignment wrapText="1"/>
    </xf>
    <xf numFmtId="0" fontId="33" fillId="0" borderId="0" xfId="0" applyFont="1"/>
    <xf numFmtId="0" fontId="33" fillId="0" borderId="0" xfId="0" applyFont="1" applyAlignment="1">
      <alignment wrapText="1"/>
    </xf>
    <xf numFmtId="0" fontId="24" fillId="0" borderId="0" xfId="5" applyAlignment="1" applyProtection="1"/>
    <xf numFmtId="0" fontId="0" fillId="0" borderId="0" xfId="0" quotePrefix="1"/>
    <xf numFmtId="0" fontId="34" fillId="7" borderId="0" xfId="5" applyFont="1" applyFill="1" applyAlignment="1" applyProtection="1">
      <alignment vertical="center"/>
    </xf>
    <xf numFmtId="0" fontId="10" fillId="7" borderId="0" xfId="0" applyFont="1" applyFill="1" applyAlignment="1">
      <alignment vertical="center"/>
    </xf>
    <xf numFmtId="0" fontId="12" fillId="8" borderId="1" xfId="0" applyFont="1" applyFill="1" applyBorder="1" applyAlignment="1">
      <alignment horizontal="left" vertical="center" wrapText="1" indent="2"/>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27" fillId="0" borderId="1" xfId="0" applyFont="1" applyBorder="1" applyAlignment="1">
      <alignment wrapText="1"/>
    </xf>
    <xf numFmtId="0" fontId="0" fillId="0" borderId="1" xfId="0" applyBorder="1" applyAlignment="1">
      <alignment wrapText="1"/>
    </xf>
    <xf numFmtId="0" fontId="24" fillId="0" borderId="1" xfId="5" applyBorder="1" applyAlignment="1" applyProtection="1">
      <alignment wrapText="1"/>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0" fillId="0" borderId="1" xfId="0" quotePrefix="1" applyBorder="1" applyAlignment="1">
      <alignment wrapText="1"/>
    </xf>
    <xf numFmtId="1" fontId="0" fillId="0" borderId="12" xfId="4" quotePrefix="1" applyNumberFormat="1" applyFont="1" applyBorder="1" applyAlignment="1" applyProtection="1">
      <alignment horizontal="center" vertical="top" wrapText="1"/>
      <protection locked="0"/>
    </xf>
    <xf numFmtId="0" fontId="0" fillId="0" borderId="1" xfId="0" applyFill="1" applyBorder="1" applyAlignment="1">
      <alignment wrapText="1"/>
    </xf>
    <xf numFmtId="0" fontId="0" fillId="5" borderId="1" xfId="0" applyFill="1" applyBorder="1" applyAlignment="1">
      <alignment wrapText="1"/>
    </xf>
    <xf numFmtId="0" fontId="0" fillId="10" borderId="12" xfId="3" applyFont="1" applyFill="1" applyBorder="1" applyAlignment="1" applyProtection="1">
      <alignment horizontal="left"/>
      <protection locked="0"/>
    </xf>
    <xf numFmtId="0" fontId="0" fillId="9" borderId="13" xfId="3" applyFont="1" applyFill="1" applyBorder="1" applyAlignment="1" applyProtection="1">
      <alignment horizontal="left"/>
      <protection locked="0"/>
    </xf>
    <xf numFmtId="0" fontId="0" fillId="9" borderId="14" xfId="3" applyFont="1" applyFill="1" applyBorder="1" applyAlignment="1" applyProtection="1">
      <alignment horizontal="left"/>
      <protection locked="0"/>
    </xf>
    <xf numFmtId="0" fontId="17" fillId="8" borderId="0" xfId="3" applyNumberFormat="1" applyFont="1" applyFill="1" applyAlignment="1" applyProtection="1">
      <alignment horizontal="center" vertical="center"/>
    </xf>
    <xf numFmtId="0" fontId="19" fillId="9" borderId="0" xfId="3" applyFont="1" applyFill="1" applyAlignment="1" applyProtection="1">
      <alignment horizontal="center" vertical="top"/>
    </xf>
    <xf numFmtId="0" fontId="21" fillId="9" borderId="0" xfId="3" applyFont="1" applyFill="1" applyBorder="1" applyAlignment="1" applyProtection="1">
      <alignment horizontal="left" vertical="center"/>
      <protection locked="0"/>
    </xf>
    <xf numFmtId="0" fontId="0" fillId="10" borderId="13" xfId="3" applyFont="1" applyFill="1" applyBorder="1" applyAlignment="1" applyProtection="1">
      <alignment horizontal="left"/>
      <protection locked="0"/>
    </xf>
    <xf numFmtId="0" fontId="0" fillId="10" borderId="14" xfId="3" applyFont="1" applyFill="1" applyBorder="1" applyAlignment="1" applyProtection="1">
      <alignment horizontal="left"/>
      <protection locked="0"/>
    </xf>
    <xf numFmtId="0" fontId="0" fillId="9" borderId="13" xfId="3" applyFont="1" applyFill="1" applyBorder="1" applyAlignment="1" applyProtection="1">
      <alignment horizontal="left"/>
    </xf>
    <xf numFmtId="0" fontId="0" fillId="9" borderId="14" xfId="3" applyFont="1" applyFill="1" applyBorder="1" applyAlignment="1" applyProtection="1">
      <alignment horizontal="left"/>
    </xf>
    <xf numFmtId="0" fontId="12" fillId="8" borderId="3" xfId="0" applyFont="1" applyFill="1" applyBorder="1" applyAlignment="1">
      <alignment horizontal="left" vertical="top"/>
    </xf>
    <xf numFmtId="0" fontId="12" fillId="8" borderId="18" xfId="0" applyFont="1" applyFill="1" applyBorder="1" applyAlignment="1">
      <alignment horizontal="left" vertical="top"/>
    </xf>
    <xf numFmtId="0" fontId="13" fillId="7" borderId="1" xfId="0" applyFont="1" applyFill="1" applyBorder="1" applyAlignment="1">
      <alignment horizontal="center" vertical="center" wrapText="1"/>
    </xf>
    <xf numFmtId="0" fontId="12" fillId="8" borderId="3" xfId="0" quotePrefix="1" applyFont="1" applyFill="1" applyBorder="1" applyAlignment="1">
      <alignment horizontal="left" vertical="center" wrapText="1" shrinkToFit="1"/>
    </xf>
    <xf numFmtId="0" fontId="12" fillId="8" borderId="4" xfId="0" applyFont="1" applyFill="1" applyBorder="1" applyAlignment="1">
      <alignment horizontal="left" vertical="center" wrapText="1" shrinkToFit="1"/>
    </xf>
    <xf numFmtId="0" fontId="10" fillId="7" borderId="0" xfId="0" applyFont="1" applyFill="1" applyAlignment="1">
      <alignment horizontal="center" vertical="center"/>
    </xf>
    <xf numFmtId="0" fontId="11" fillId="7" borderId="2" xfId="0" applyFont="1" applyFill="1" applyBorder="1" applyAlignment="1">
      <alignment horizontal="left"/>
    </xf>
    <xf numFmtId="0" fontId="13" fillId="7" borderId="5"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7"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9" xfId="0" applyFont="1" applyFill="1" applyBorder="1" applyAlignment="1">
      <alignment horizontal="center" vertical="center" wrapText="1"/>
    </xf>
    <xf numFmtId="0" fontId="13" fillId="7" borderId="10" xfId="0" applyFont="1" applyFill="1" applyBorder="1" applyAlignment="1">
      <alignment horizontal="center" vertical="center" wrapText="1"/>
    </xf>
    <xf numFmtId="0" fontId="12" fillId="8" borderId="1" xfId="0" applyFont="1" applyFill="1" applyBorder="1" applyAlignment="1">
      <alignment horizontal="left" vertical="top"/>
    </xf>
    <xf numFmtId="0" fontId="12" fillId="8" borderId="3" xfId="0" applyFont="1" applyFill="1" applyBorder="1" applyAlignment="1">
      <alignment horizontal="left" vertical="top" wrapText="1"/>
    </xf>
    <xf numFmtId="0" fontId="12" fillId="8" borderId="18" xfId="0" applyFont="1" applyFill="1" applyBorder="1" applyAlignment="1">
      <alignment horizontal="left" vertical="top" wrapText="1"/>
    </xf>
    <xf numFmtId="0" fontId="12" fillId="8" borderId="1" xfId="0" applyFont="1" applyFill="1" applyBorder="1" applyAlignment="1">
      <alignment horizontal="left" vertical="top" wrapText="1"/>
    </xf>
    <xf numFmtId="0" fontId="12" fillId="8" borderId="3" xfId="0" applyFont="1" applyFill="1" applyBorder="1" applyAlignment="1">
      <alignment horizontal="left" vertical="center" wrapText="1" shrinkToFit="1"/>
    </xf>
    <xf numFmtId="0" fontId="29" fillId="12" borderId="2" xfId="0" applyFont="1" applyFill="1" applyBorder="1" applyAlignment="1">
      <alignment horizontal="left"/>
    </xf>
    <xf numFmtId="0" fontId="10" fillId="7" borderId="2" xfId="0" applyFont="1" applyFill="1" applyBorder="1" applyAlignment="1">
      <alignment horizontal="left" vertical="center"/>
    </xf>
  </cellXfs>
  <cellStyles count="6">
    <cellStyle name="Bad" xfId="2" builtinId="27"/>
    <cellStyle name="Good" xfId="1" builtinId="26"/>
    <cellStyle name="Hyperlink" xfId="5" builtinId="8"/>
    <cellStyle name="Normal" xfId="0" builtinId="0"/>
    <cellStyle name="Standard_CM_Plan_V14_Ri" xfId="3" xr:uid="{00000000-0005-0000-0000-000004000000}"/>
    <cellStyle name="Standard_RE_Analysis_PD_v1_0" xfId="4" xr:uid="{00000000-0005-0000-0000-000005000000}"/>
  </cellStyles>
  <dxfs count="6">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
      <font>
        <b/>
        <i val="0"/>
        <color auto="1"/>
      </font>
      <fill>
        <patternFill>
          <bgColor rgb="FF00B0F0"/>
        </patternFill>
      </fill>
    </dxf>
    <dxf>
      <font>
        <b/>
        <i val="0"/>
        <color auto="1"/>
      </font>
      <fill>
        <patternFill>
          <bgColor rgb="FFFF0000"/>
        </patternFill>
      </fill>
    </dxf>
    <dxf>
      <font>
        <b/>
        <i val="0"/>
        <color auto="1"/>
      </font>
      <fill>
        <patternFill>
          <bgColor rgb="FFFFC000"/>
        </patternFill>
      </fill>
    </dxf>
  </dxfs>
  <tableStyles count="0" defaultTableStyle="TableStyleMedium2" defaultPivotStyle="PivotStyleLight16"/>
  <colors>
    <mruColors>
      <color rgb="FF33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hyperlink" Target="#Summary!A1"/></Relationships>
</file>

<file path=xl/drawings/_rels/drawing5.xml.rels><?xml version="1.0" encoding="UTF-8" standalone="yes"?>
<Relationships xmlns="http://schemas.openxmlformats.org/package/2006/relationships"><Relationship Id="rId1" Type="http://schemas.openxmlformats.org/officeDocument/2006/relationships/hyperlink" Target="#Summary!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3</xdr:row>
          <xdr:rowOff>121920</xdr:rowOff>
        </xdr:from>
        <xdr:to>
          <xdr:col>9</xdr:col>
          <xdr:colOff>403860</xdr:colOff>
          <xdr:row>4</xdr:row>
          <xdr:rowOff>365760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4</xdr:row>
          <xdr:rowOff>7620</xdr:rowOff>
        </xdr:from>
        <xdr:to>
          <xdr:col>2</xdr:col>
          <xdr:colOff>373380</xdr:colOff>
          <xdr:row>4</xdr:row>
          <xdr:rowOff>495300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xdr:row>
          <xdr:rowOff>7620</xdr:rowOff>
        </xdr:from>
        <xdr:to>
          <xdr:col>3</xdr:col>
          <xdr:colOff>373380</xdr:colOff>
          <xdr:row>4</xdr:row>
          <xdr:rowOff>495300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xdr:row>
          <xdr:rowOff>7620</xdr:rowOff>
        </xdr:from>
        <xdr:to>
          <xdr:col>4</xdr:col>
          <xdr:colOff>373380</xdr:colOff>
          <xdr:row>4</xdr:row>
          <xdr:rowOff>495300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4</xdr:row>
          <xdr:rowOff>7620</xdr:rowOff>
        </xdr:from>
        <xdr:to>
          <xdr:col>5</xdr:col>
          <xdr:colOff>373380</xdr:colOff>
          <xdr:row>4</xdr:row>
          <xdr:rowOff>495300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8"/>
                  </a:solidFill>
                  <a:miter lim="800000"/>
                  <a:headEnd/>
                  <a:tailEnd/>
                </a14:hiddenLine>
              </a:ext>
            </a:extLst>
          </xdr:spPr>
        </xdr:sp>
        <xdr:clientData/>
      </xdr:twoCellAnchor>
    </mc:Choice>
    <mc:Fallback/>
  </mc:AlternateContent>
  <xdr:twoCellAnchor editAs="oneCell">
    <xdr:from>
      <xdr:col>2</xdr:col>
      <xdr:colOff>190500</xdr:colOff>
      <xdr:row>13</xdr:row>
      <xdr:rowOff>91440</xdr:rowOff>
    </xdr:from>
    <xdr:to>
      <xdr:col>4</xdr:col>
      <xdr:colOff>461494</xdr:colOff>
      <xdr:row>13</xdr:row>
      <xdr:rowOff>1630680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895600" y="2849880"/>
          <a:ext cx="3715234" cy="153924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266700</xdr:colOff>
          <xdr:row>7</xdr:row>
          <xdr:rowOff>22860</xdr:rowOff>
        </xdr:from>
        <xdr:to>
          <xdr:col>7</xdr:col>
          <xdr:colOff>525780</xdr:colOff>
          <xdr:row>10</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266700</xdr:colOff>
          <xdr:row>3</xdr:row>
          <xdr:rowOff>137160</xdr:rowOff>
        </xdr:from>
        <xdr:to>
          <xdr:col>7</xdr:col>
          <xdr:colOff>556260</xdr:colOff>
          <xdr:row>6</xdr:row>
          <xdr:rowOff>38100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Insert test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400-000002000000}"/>
            </a:ext>
          </a:extLst>
        </xdr:cNvPr>
        <xdr:cNvSpPr txBox="1"/>
      </xdr:nvSpPr>
      <xdr:spPr>
        <a:xfrm>
          <a:off x="7270750" y="330200"/>
          <a:ext cx="2178050" cy="5016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4</xdr:row>
          <xdr:rowOff>0</xdr:rowOff>
        </xdr:from>
        <xdr:to>
          <xdr:col>11</xdr:col>
          <xdr:colOff>480060</xdr:colOff>
          <xdr:row>4</xdr:row>
          <xdr:rowOff>487680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600-000002C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test results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19050</xdr:colOff>
      <xdr:row>1</xdr:row>
      <xdr:rowOff>19050</xdr:rowOff>
    </xdr:from>
    <xdr:to>
      <xdr:col>3</xdr:col>
      <xdr:colOff>2197100</xdr:colOff>
      <xdr:row>3</xdr:row>
      <xdr:rowOff>19050</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0700-000002000000}"/>
            </a:ext>
          </a:extLst>
        </xdr:cNvPr>
        <xdr:cNvSpPr txBox="1"/>
      </xdr:nvSpPr>
      <xdr:spPr>
        <a:xfrm>
          <a:off x="7067550" y="342900"/>
          <a:ext cx="2178050" cy="895350"/>
        </a:xfrm>
        <a:prstGeom prst="rect">
          <a:avLst/>
        </a:prstGeom>
        <a:solidFill>
          <a:schemeClr val="bg1">
            <a:lumMod val="7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1"/>
            <a:t>Summary</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3.vml"/><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12.xml"/><Relationship Id="rId4" Type="http://schemas.openxmlformats.org/officeDocument/2006/relationships/vmlDrawing" Target="../drawings/vmlDrawing10.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autoPageBreaks="0" fitToPage="1"/>
  </sheetPr>
  <dimension ref="B1:H23"/>
  <sheetViews>
    <sheetView showGridLines="0" zoomScaleNormal="100" workbookViewId="0">
      <selection activeCell="D6" sqref="D6:E7"/>
    </sheetView>
  </sheetViews>
  <sheetFormatPr defaultColWidth="9.88671875" defaultRowHeight="13.2" x14ac:dyDescent="0.25"/>
  <cols>
    <col min="1" max="1" width="3.33203125" style="30" customWidth="1"/>
    <col min="2" max="2" width="8.33203125" style="30" customWidth="1"/>
    <col min="3" max="3" width="16.88671875" style="30" customWidth="1"/>
    <col min="4" max="4" width="14.6640625" style="30" customWidth="1"/>
    <col min="5" max="5" width="65" style="30" customWidth="1"/>
    <col min="6" max="6" width="3.6640625" style="30" customWidth="1"/>
    <col min="7" max="16384" width="9.88671875" style="30"/>
  </cols>
  <sheetData>
    <row r="1" spans="2:8" ht="45" customHeight="1" x14ac:dyDescent="0.25"/>
    <row r="2" spans="2:8" s="32" customFormat="1" ht="24.6" x14ac:dyDescent="0.25">
      <c r="B2" s="81" t="str">
        <f>D6</f>
        <v>ETAS_BIP_PT_ARCMW_11.1_CAL60S244AB_CAR921</v>
      </c>
      <c r="C2" s="81"/>
      <c r="D2" s="81"/>
      <c r="E2" s="81"/>
      <c r="F2" s="30"/>
      <c r="G2" s="31"/>
    </row>
    <row r="3" spans="2:8" ht="30" customHeight="1" x14ac:dyDescent="0.25">
      <c r="B3" s="82" t="s">
        <v>62</v>
      </c>
      <c r="C3" s="82"/>
      <c r="D3" s="82"/>
      <c r="E3" s="82"/>
      <c r="F3" s="33"/>
    </row>
    <row r="4" spans="2:8" ht="30" hidden="1" customHeight="1" x14ac:dyDescent="0.25">
      <c r="B4" s="34">
        <f>D7</f>
        <v>33552</v>
      </c>
      <c r="C4" s="34"/>
      <c r="D4" s="34"/>
      <c r="E4" s="34"/>
    </row>
    <row r="5" spans="2:8" ht="18" customHeight="1" x14ac:dyDescent="0.25">
      <c r="B5" s="83" t="s">
        <v>49</v>
      </c>
      <c r="C5" s="83"/>
      <c r="D5" s="83"/>
      <c r="E5" s="83"/>
    </row>
    <row r="6" spans="2:8" x14ac:dyDescent="0.25">
      <c r="B6" s="35" t="s">
        <v>50</v>
      </c>
      <c r="C6" s="35"/>
      <c r="D6" s="72" t="s">
        <v>131</v>
      </c>
      <c r="E6" s="73"/>
    </row>
    <row r="7" spans="2:8" x14ac:dyDescent="0.25">
      <c r="B7" s="84" t="s">
        <v>51</v>
      </c>
      <c r="C7" s="85"/>
      <c r="D7" s="79">
        <v>33552</v>
      </c>
      <c r="E7" s="80"/>
    </row>
    <row r="8" spans="2:8" x14ac:dyDescent="0.25">
      <c r="B8" s="78" t="s">
        <v>52</v>
      </c>
      <c r="C8" s="78"/>
      <c r="D8" s="86" t="str">
        <f ca="1">IF(ISERROR(MID(CELL("Dateiname"),FIND("[",CELL("Dateiname"))+1,FIND("]",CELL("Dateiname"))-FIND("[",CELL("Dateiname"))-1)), MID(CELL("Filename"),FIND("[",CELL("Filename"))+1,FIND("]",CELL("Filename"))-FIND("[",CELL("Filename"))-1),MID(CELL("Dateiname"),FIND("[",CELL("Dateiname"))+1,FIND("]",CELL("Dateiname"))-FIND("[",CELL("Dateiname"))-1))</f>
        <v>CAL_AUTOSAR_Test_Result_Dcm_PgmReset.xlsm</v>
      </c>
      <c r="E8" s="87"/>
    </row>
    <row r="9" spans="2:8" x14ac:dyDescent="0.25">
      <c r="B9" s="78" t="s">
        <v>53</v>
      </c>
      <c r="C9" s="78"/>
      <c r="D9" s="79" t="s">
        <v>130</v>
      </c>
      <c r="E9" s="80"/>
    </row>
    <row r="10" spans="2:8" x14ac:dyDescent="0.25">
      <c r="B10" s="78" t="s">
        <v>54</v>
      </c>
      <c r="C10" s="78"/>
      <c r="D10" s="79" t="s">
        <v>118</v>
      </c>
      <c r="E10" s="80"/>
    </row>
    <row r="11" spans="2:8" x14ac:dyDescent="0.25">
      <c r="B11" s="36" t="s">
        <v>55</v>
      </c>
      <c r="C11" s="37"/>
      <c r="D11" s="37"/>
      <c r="E11" s="37"/>
    </row>
    <row r="12" spans="2:8" x14ac:dyDescent="0.25">
      <c r="B12" s="38"/>
    </row>
    <row r="13" spans="2:8" x14ac:dyDescent="0.25">
      <c r="B13" s="39" t="s">
        <v>56</v>
      </c>
      <c r="C13" s="40"/>
      <c r="D13" s="40"/>
      <c r="E13" s="41"/>
    </row>
    <row r="14" spans="2:8" x14ac:dyDescent="0.25">
      <c r="B14" s="42" t="s">
        <v>13</v>
      </c>
      <c r="C14" s="42" t="s">
        <v>57</v>
      </c>
      <c r="D14" s="42" t="s">
        <v>58</v>
      </c>
      <c r="E14" s="42" t="s">
        <v>59</v>
      </c>
      <c r="H14" s="43"/>
    </row>
    <row r="15" spans="2:8" s="49" customFormat="1" x14ac:dyDescent="0.25">
      <c r="B15" s="44" t="s">
        <v>60</v>
      </c>
      <c r="C15" s="45" t="s">
        <v>130</v>
      </c>
      <c r="D15" s="46">
        <v>44924</v>
      </c>
      <c r="E15" s="47" t="s">
        <v>61</v>
      </c>
      <c r="F15" s="48"/>
      <c r="G15" s="48"/>
    </row>
    <row r="16" spans="2:8" s="49" customFormat="1" x14ac:dyDescent="0.25">
      <c r="B16" s="75"/>
      <c r="C16" s="45"/>
      <c r="D16" s="46"/>
      <c r="E16" s="47"/>
      <c r="F16" s="48"/>
      <c r="G16" s="48"/>
    </row>
    <row r="17" spans="2:7" s="49" customFormat="1" x14ac:dyDescent="0.25">
      <c r="B17" s="75"/>
      <c r="C17" s="45"/>
      <c r="D17" s="46"/>
      <c r="E17" s="47"/>
      <c r="F17" s="48"/>
      <c r="G17" s="48"/>
    </row>
    <row r="18" spans="2:7" s="49" customFormat="1" x14ac:dyDescent="0.25">
      <c r="B18" s="75"/>
      <c r="C18" s="45"/>
      <c r="D18" s="46"/>
      <c r="E18" s="47"/>
      <c r="F18" s="48"/>
      <c r="G18" s="48"/>
    </row>
    <row r="19" spans="2:7" s="49" customFormat="1" x14ac:dyDescent="0.25">
      <c r="B19" s="44"/>
      <c r="C19" s="45"/>
      <c r="D19" s="46"/>
      <c r="E19" s="47"/>
      <c r="F19" s="48"/>
      <c r="G19" s="48"/>
    </row>
    <row r="20" spans="2:7" s="49" customFormat="1" x14ac:dyDescent="0.25">
      <c r="B20" s="44"/>
      <c r="C20" s="45"/>
      <c r="D20" s="46"/>
      <c r="E20" s="47"/>
      <c r="F20" s="48"/>
      <c r="G20" s="48"/>
    </row>
    <row r="21" spans="2:7" s="49" customFormat="1" x14ac:dyDescent="0.25">
      <c r="B21" s="44"/>
      <c r="C21" s="45"/>
      <c r="D21" s="46"/>
      <c r="E21" s="47"/>
      <c r="F21" s="48"/>
      <c r="G21" s="48"/>
    </row>
    <row r="22" spans="2:7" s="49" customFormat="1" x14ac:dyDescent="0.25">
      <c r="B22" s="44"/>
      <c r="C22" s="45"/>
      <c r="D22" s="46"/>
      <c r="E22" s="47"/>
      <c r="F22" s="48"/>
      <c r="G22" s="48"/>
    </row>
    <row r="23" spans="2:7" x14ac:dyDescent="0.25">
      <c r="B23" s="44"/>
      <c r="C23" s="50"/>
      <c r="D23" s="50"/>
      <c r="E23" s="47"/>
    </row>
  </sheetData>
  <sheetProtection formatCells="0" formatColumns="0" formatRows="0" insertColumns="0" insertRows="0" insertHyperlinks="0" deleteColumns="0" deleteRows="0" selectLockedCells="1" sort="0" autoFilter="0" pivotTables="0"/>
  <mergeCells count="11">
    <mergeCell ref="B9:C9"/>
    <mergeCell ref="D9:E9"/>
    <mergeCell ref="B10:C10"/>
    <mergeCell ref="D10:E10"/>
    <mergeCell ref="B2:E2"/>
    <mergeCell ref="B3:E3"/>
    <mergeCell ref="B5:E5"/>
    <mergeCell ref="B7:C7"/>
    <mergeCell ref="D7:E7"/>
    <mergeCell ref="B8:C8"/>
    <mergeCell ref="D8:E8"/>
  </mergeCells>
  <dataValidations count="2">
    <dataValidation type="list" allowBlank="1" showInputMessage="1" showErrorMessage="1" sqref="D10:E10" xr:uid="{00000000-0002-0000-0000-000000000000}">
      <formula1>"Draft,In Review,Released"</formula1>
    </dataValidation>
    <dataValidation allowBlank="1" showErrorMessage="1" promptTitle="Confidentiality" prompt="Internal _x000a_= Public for all ETAS_x000a__x000a_Confidential_x000a_= _x000a__x000a_Stricly Confidential_x000a_-" sqref="D11:E11" xr:uid="{00000000-0002-0000-0000-000001000000}"/>
  </dataValidations>
  <pageMargins left="0.78740157480314965" right="0.78740157480314965" top="1.1811023622047245" bottom="0.94488188976377963" header="0.31496062992125984" footer="0.39370078740157483"/>
  <pageSetup paperSize="9" orientation="portrait" horizontalDpi="4294967294" r:id="rId1"/>
  <headerFooter alignWithMargins="0">
    <oddHeader>&amp;LTest Specification RTA&amp;C
&amp;14
&amp;R&amp;G</oddHeader>
    <oddFooter>&amp;L&amp;8If printed, this document is an uncontrolled copy.&amp;C&amp;8Confidential&amp;R&amp;8Page &amp;P of &amp;N
Template: 00TE00434 V02 - released
File: &amp;F / Sheet: &amp;A</oddFooter>
  </headerFooter>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22"/>
  <sheetViews>
    <sheetView workbookViewId="0">
      <selection activeCell="I11" sqref="I11"/>
    </sheetView>
  </sheetViews>
  <sheetFormatPr defaultRowHeight="13.2" x14ac:dyDescent="0.25"/>
  <cols>
    <col min="1" max="1" width="14.33203125" customWidth="1"/>
    <col min="2" max="6" width="25.109375" customWidth="1"/>
    <col min="8" max="8" width="9.88671875" customWidth="1"/>
  </cols>
  <sheetData>
    <row r="1" spans="1:8" ht="24.6" x14ac:dyDescent="0.25">
      <c r="A1" s="93" t="str">
        <f>CONCATENATE('Meta Data'!D6,   "Test specification")</f>
        <v>ETAS_BIP_PT_ARCMW_11.1_CAL60S244AB_CAR921Test specification</v>
      </c>
      <c r="B1" s="93"/>
      <c r="C1" s="93"/>
      <c r="D1" s="93"/>
      <c r="E1" s="93"/>
      <c r="F1" s="93"/>
      <c r="H1" s="64" t="s">
        <v>78</v>
      </c>
    </row>
    <row r="4" spans="1:8" ht="20.399999999999999" x14ac:dyDescent="0.35">
      <c r="A4" s="94" t="s">
        <v>7</v>
      </c>
      <c r="B4" s="94"/>
      <c r="C4" s="94"/>
      <c r="D4" s="94"/>
      <c r="E4" s="94"/>
      <c r="F4" s="94"/>
    </row>
    <row r="5" spans="1:8" ht="40.5" customHeight="1" x14ac:dyDescent="0.25">
      <c r="A5" s="90" t="s">
        <v>8</v>
      </c>
      <c r="B5" s="90"/>
      <c r="C5" s="66" t="s">
        <v>9</v>
      </c>
      <c r="D5" s="66" t="s">
        <v>10</v>
      </c>
      <c r="E5" s="66" t="s">
        <v>11</v>
      </c>
      <c r="F5" s="66" t="s">
        <v>14</v>
      </c>
    </row>
    <row r="6" spans="1:8" x14ac:dyDescent="0.25">
      <c r="A6" s="95" t="s">
        <v>12</v>
      </c>
      <c r="B6" s="96"/>
      <c r="C6" s="101" t="s">
        <v>109</v>
      </c>
      <c r="D6" s="89"/>
      <c r="E6" s="104" t="s">
        <v>13</v>
      </c>
      <c r="F6" s="103"/>
    </row>
    <row r="7" spans="1:8" x14ac:dyDescent="0.25">
      <c r="A7" s="97"/>
      <c r="B7" s="98"/>
      <c r="C7" s="88" t="s">
        <v>110</v>
      </c>
      <c r="D7" s="89"/>
      <c r="E7" s="102" t="s">
        <v>111</v>
      </c>
      <c r="F7" s="103"/>
    </row>
    <row r="8" spans="1:8" x14ac:dyDescent="0.25">
      <c r="A8" s="97"/>
      <c r="B8" s="98"/>
      <c r="C8" s="67" t="s">
        <v>114</v>
      </c>
      <c r="D8" s="68"/>
      <c r="E8" s="67" t="s">
        <v>113</v>
      </c>
      <c r="F8" s="68"/>
    </row>
    <row r="9" spans="1:8" x14ac:dyDescent="0.25">
      <c r="A9" s="97"/>
      <c r="B9" s="98"/>
      <c r="C9" s="67" t="s">
        <v>117</v>
      </c>
      <c r="D9" s="68"/>
      <c r="E9" s="67" t="s">
        <v>121</v>
      </c>
      <c r="F9" s="68"/>
    </row>
    <row r="10" spans="1:8" x14ac:dyDescent="0.25">
      <c r="A10" s="97"/>
      <c r="B10" s="98"/>
      <c r="C10" s="67" t="s">
        <v>116</v>
      </c>
      <c r="D10" s="68"/>
      <c r="E10" s="67" t="s">
        <v>128</v>
      </c>
      <c r="F10" s="68"/>
    </row>
    <row r="11" spans="1:8" x14ac:dyDescent="0.25">
      <c r="A11" s="97"/>
      <c r="B11" s="98"/>
      <c r="C11" s="101"/>
      <c r="D11" s="101"/>
      <c r="E11" s="101"/>
      <c r="F11" s="101"/>
    </row>
    <row r="12" spans="1:8" x14ac:dyDescent="0.25">
      <c r="A12" s="97"/>
      <c r="B12" s="98"/>
      <c r="C12" s="101"/>
      <c r="D12" s="101"/>
      <c r="E12" s="101"/>
      <c r="F12" s="101"/>
    </row>
    <row r="13" spans="1:8" x14ac:dyDescent="0.25">
      <c r="A13" s="99"/>
      <c r="B13" s="100"/>
      <c r="C13" s="101"/>
      <c r="D13" s="101"/>
      <c r="E13" s="101"/>
      <c r="F13" s="101"/>
    </row>
    <row r="14" spans="1:8" ht="134.25" customHeight="1" x14ac:dyDescent="0.25">
      <c r="A14" s="90" t="s">
        <v>15</v>
      </c>
      <c r="B14" s="90"/>
      <c r="C14" s="105"/>
      <c r="D14" s="92"/>
      <c r="E14" s="92"/>
      <c r="F14" s="92"/>
    </row>
    <row r="15" spans="1:8" ht="136.5" customHeight="1" x14ac:dyDescent="0.25">
      <c r="A15" s="90" t="s">
        <v>16</v>
      </c>
      <c r="B15" s="90"/>
      <c r="C15" s="91" t="s">
        <v>119</v>
      </c>
      <c r="D15" s="92"/>
      <c r="E15" s="92"/>
      <c r="F15" s="92"/>
    </row>
    <row r="16" spans="1:8" ht="75" customHeight="1" x14ac:dyDescent="0.25">
      <c r="A16" s="90" t="s">
        <v>17</v>
      </c>
      <c r="B16" s="90"/>
      <c r="C16" s="105" t="s">
        <v>112</v>
      </c>
      <c r="D16" s="92"/>
      <c r="E16" s="92"/>
      <c r="F16" s="92"/>
    </row>
    <row r="22" spans="3:3" ht="15" x14ac:dyDescent="0.25">
      <c r="C22" s="17"/>
    </row>
  </sheetData>
  <mergeCells count="20">
    <mergeCell ref="A16:B16"/>
    <mergeCell ref="C16:F16"/>
    <mergeCell ref="C13:D13"/>
    <mergeCell ref="A14:B14"/>
    <mergeCell ref="C14:F14"/>
    <mergeCell ref="C7:D7"/>
    <mergeCell ref="A15:B15"/>
    <mergeCell ref="C15:F15"/>
    <mergeCell ref="A1:F1"/>
    <mergeCell ref="A4:F4"/>
    <mergeCell ref="A5:B5"/>
    <mergeCell ref="A6:B13"/>
    <mergeCell ref="E12:F12"/>
    <mergeCell ref="E13:F13"/>
    <mergeCell ref="C11:D11"/>
    <mergeCell ref="C12:D12"/>
    <mergeCell ref="E7:F7"/>
    <mergeCell ref="E11:F11"/>
    <mergeCell ref="C6:D6"/>
    <mergeCell ref="E6:F6"/>
  </mergeCells>
  <hyperlinks>
    <hyperlink ref="H1" location="Summary!A1" display="Summary" xr:uid="{00000000-0004-0000-01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50" r:id="rId5" name="Check Box 2">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mc:AlternateContent xmlns:mc="http://schemas.openxmlformats.org/markup-compatibility/2006">
          <mc:Choice Requires="x14">
            <control shapeId="2054" r:id="rId9" name="Button 6">
              <controlPr defaultSize="0" print="0" autoFill="0" autoPict="0" macro="[0]!Button1_Click">
                <anchor moveWithCells="1" sizeWithCells="1">
                  <from>
                    <xdr:col>7</xdr:col>
                    <xdr:colOff>38100</xdr:colOff>
                    <xdr:row>3</xdr:row>
                    <xdr:rowOff>121920</xdr:rowOff>
                  </from>
                  <to>
                    <xdr:col>9</xdr:col>
                    <xdr:colOff>403860</xdr:colOff>
                    <xdr:row>4</xdr:row>
                    <xdr:rowOff>365760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2</xdr:col>
                    <xdr:colOff>38100</xdr:colOff>
                    <xdr:row>4</xdr:row>
                    <xdr:rowOff>7620</xdr:rowOff>
                  </from>
                  <to>
                    <xdr:col>2</xdr:col>
                    <xdr:colOff>373380</xdr:colOff>
                    <xdr:row>4</xdr:row>
                    <xdr:rowOff>495300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38100</xdr:colOff>
                    <xdr:row>4</xdr:row>
                    <xdr:rowOff>7620</xdr:rowOff>
                  </from>
                  <to>
                    <xdr:col>3</xdr:col>
                    <xdr:colOff>373380</xdr:colOff>
                    <xdr:row>4</xdr:row>
                    <xdr:rowOff>495300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4</xdr:col>
                    <xdr:colOff>38100</xdr:colOff>
                    <xdr:row>4</xdr:row>
                    <xdr:rowOff>7620</xdr:rowOff>
                  </from>
                  <to>
                    <xdr:col>4</xdr:col>
                    <xdr:colOff>373380</xdr:colOff>
                    <xdr:row>4</xdr:row>
                    <xdr:rowOff>495300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5</xdr:col>
                    <xdr:colOff>38100</xdr:colOff>
                    <xdr:row>4</xdr:row>
                    <xdr:rowOff>7620</xdr:rowOff>
                  </from>
                  <to>
                    <xdr:col>5</xdr:col>
                    <xdr:colOff>373380</xdr:colOff>
                    <xdr:row>4</xdr:row>
                    <xdr:rowOff>495300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61"/>
  <sheetViews>
    <sheetView showGridLines="0" tabSelected="1" zoomScaleNormal="100" workbookViewId="0">
      <selection activeCell="B34" sqref="B34"/>
    </sheetView>
  </sheetViews>
  <sheetFormatPr defaultRowHeight="13.2" x14ac:dyDescent="0.25"/>
  <cols>
    <col min="1" max="1" width="45.5546875" customWidth="1"/>
    <col min="2" max="2" width="50.33203125" style="18" customWidth="1"/>
    <col min="3" max="3" width="33" customWidth="1"/>
    <col min="4" max="4" width="14.33203125" customWidth="1"/>
    <col min="5" max="5" width="19.5546875" customWidth="1"/>
    <col min="9" max="9" width="9.88671875" bestFit="1" customWidth="1"/>
    <col min="10" max="10" width="4.5546875" customWidth="1"/>
    <col min="11" max="11" width="3" customWidth="1"/>
    <col min="12" max="12" width="22.5546875" bestFit="1" customWidth="1"/>
  </cols>
  <sheetData>
    <row r="1" spans="1:13" ht="24.6" x14ac:dyDescent="0.25">
      <c r="A1" s="93" t="str">
        <f>CONCATENATE('Meta Data'!D6,   "Test specification")</f>
        <v>ETAS_BIP_PT_ARCMW_11.1_CAL60S244AB_CAR921Test specification</v>
      </c>
      <c r="B1" s="93"/>
      <c r="C1" s="93"/>
      <c r="D1" s="93"/>
      <c r="E1" s="93"/>
      <c r="F1" s="93"/>
      <c r="I1" s="64" t="s">
        <v>77</v>
      </c>
    </row>
    <row r="4" spans="1:13" ht="20.399999999999999" x14ac:dyDescent="0.35">
      <c r="A4" s="106" t="s">
        <v>74</v>
      </c>
      <c r="B4" s="106"/>
      <c r="C4" s="106"/>
      <c r="D4" s="106"/>
      <c r="E4" s="106"/>
      <c r="L4" s="57" t="s">
        <v>67</v>
      </c>
      <c r="M4" s="53">
        <f>COUNTA($A$7:$A$56)</f>
        <v>1</v>
      </c>
    </row>
    <row r="5" spans="1:13" x14ac:dyDescent="0.25">
      <c r="L5" s="57" t="s">
        <v>68</v>
      </c>
      <c r="M5" s="53">
        <f>COUNTIF($D$7:$D$100,"Passed")</f>
        <v>1</v>
      </c>
    </row>
    <row r="6" spans="1:13" x14ac:dyDescent="0.25">
      <c r="A6" s="57" t="str">
        <f>TCXX!A2</f>
        <v>Test Case
ID</v>
      </c>
      <c r="B6" s="58" t="str">
        <f>TCXX!A3</f>
        <v>Test case objective</v>
      </c>
      <c r="C6" s="57" t="str">
        <f>TCXX!A5</f>
        <v>Requirements trace</v>
      </c>
      <c r="D6" s="57" t="str">
        <f>TCXX!A23</f>
        <v>TestResult</v>
      </c>
      <c r="L6" s="57" t="s">
        <v>69</v>
      </c>
      <c r="M6" s="53">
        <f>COUNTIF($D$7:$D$100,"Failed")</f>
        <v>0</v>
      </c>
    </row>
    <row r="7" spans="1:13" x14ac:dyDescent="0.25">
      <c r="A7" s="71" t="s">
        <v>132</v>
      </c>
      <c r="B7" s="54" t="s">
        <v>133</v>
      </c>
      <c r="C7" s="54" t="s">
        <v>120</v>
      </c>
      <c r="D7" s="54" t="s">
        <v>29</v>
      </c>
      <c r="L7" s="57" t="s">
        <v>70</v>
      </c>
      <c r="M7" s="53">
        <f>COUNTIF($D$7:$D$100,"Not Run")</f>
        <v>0</v>
      </c>
    </row>
    <row r="8" spans="1:13" x14ac:dyDescent="0.25">
      <c r="A8" s="71"/>
      <c r="B8" s="54"/>
      <c r="C8" s="54"/>
      <c r="D8" s="54"/>
    </row>
    <row r="9" spans="1:13" x14ac:dyDescent="0.25">
      <c r="A9" s="71"/>
      <c r="B9" s="54"/>
      <c r="C9" s="54"/>
      <c r="D9" s="54"/>
    </row>
    <row r="10" spans="1:13" x14ac:dyDescent="0.25">
      <c r="A10" s="71"/>
      <c r="B10" s="54"/>
      <c r="C10" s="70"/>
      <c r="D10" s="54"/>
    </row>
    <row r="11" spans="1:13" x14ac:dyDescent="0.25">
      <c r="A11" s="71"/>
      <c r="B11" s="54"/>
      <c r="C11" s="70"/>
      <c r="D11" s="54"/>
    </row>
    <row r="12" spans="1:13" x14ac:dyDescent="0.25">
      <c r="A12" s="71"/>
      <c r="B12" s="54"/>
      <c r="C12" s="70"/>
      <c r="D12" s="54"/>
    </row>
    <row r="13" spans="1:13" x14ac:dyDescent="0.25">
      <c r="A13" s="71"/>
      <c r="B13" s="54"/>
      <c r="C13" s="70"/>
      <c r="D13" s="54"/>
    </row>
    <row r="14" spans="1:13" x14ac:dyDescent="0.25">
      <c r="A14" s="71"/>
      <c r="B14" s="54"/>
      <c r="C14" s="70"/>
      <c r="D14" s="54"/>
    </row>
    <row r="15" spans="1:13" x14ac:dyDescent="0.25">
      <c r="A15" s="71"/>
      <c r="B15" s="54"/>
      <c r="C15" s="70"/>
      <c r="D15" s="54"/>
    </row>
    <row r="16" spans="1:13" x14ac:dyDescent="0.25">
      <c r="A16" s="71"/>
      <c r="B16" s="54"/>
      <c r="C16" s="70"/>
      <c r="D16" s="76"/>
    </row>
    <row r="17" spans="1:7" x14ac:dyDescent="0.25">
      <c r="A17" s="71"/>
      <c r="B17" s="54"/>
      <c r="C17" s="70"/>
      <c r="D17" s="76"/>
    </row>
    <row r="18" spans="1:7" x14ac:dyDescent="0.25">
      <c r="A18" s="71"/>
      <c r="B18" s="54"/>
      <c r="C18" s="70"/>
      <c r="D18" s="76"/>
      <c r="G18" s="62"/>
    </row>
    <row r="19" spans="1:7" x14ac:dyDescent="0.25">
      <c r="A19" s="71"/>
      <c r="B19" s="54"/>
      <c r="C19" s="70"/>
      <c r="D19" s="54"/>
    </row>
    <row r="20" spans="1:7" x14ac:dyDescent="0.25">
      <c r="A20" s="71"/>
      <c r="B20" s="54"/>
      <c r="C20" s="70"/>
      <c r="D20" s="76"/>
    </row>
    <row r="21" spans="1:7" x14ac:dyDescent="0.25">
      <c r="A21" s="71"/>
      <c r="B21" s="54"/>
      <c r="C21" s="70"/>
      <c r="D21" s="54"/>
    </row>
    <row r="22" spans="1:7" x14ac:dyDescent="0.25">
      <c r="A22" s="71"/>
      <c r="B22" s="54"/>
      <c r="C22" s="70"/>
      <c r="D22" s="54"/>
    </row>
    <row r="23" spans="1:7" x14ac:dyDescent="0.25">
      <c r="A23" s="71"/>
      <c r="B23" s="54"/>
      <c r="C23" s="70"/>
      <c r="D23" s="54"/>
    </row>
    <row r="24" spans="1:7" x14ac:dyDescent="0.25">
      <c r="A24" s="71"/>
      <c r="B24" s="54"/>
      <c r="C24" s="70"/>
      <c r="D24" s="54"/>
    </row>
    <row r="25" spans="1:7" x14ac:dyDescent="0.25">
      <c r="A25" s="71"/>
      <c r="B25" s="54"/>
      <c r="C25" s="70"/>
      <c r="D25" s="54"/>
    </row>
    <row r="26" spans="1:7" x14ac:dyDescent="0.25">
      <c r="A26" s="71"/>
      <c r="B26" s="54"/>
      <c r="C26" s="70"/>
      <c r="D26" s="77"/>
    </row>
    <row r="27" spans="1:7" x14ac:dyDescent="0.25">
      <c r="A27" s="71"/>
      <c r="B27" s="54"/>
      <c r="C27" s="54"/>
      <c r="D27" s="77"/>
    </row>
    <row r="28" spans="1:7" x14ac:dyDescent="0.25">
      <c r="A28" s="71"/>
      <c r="B28" s="54"/>
      <c r="C28" s="54"/>
      <c r="D28" s="77"/>
    </row>
    <row r="29" spans="1:7" x14ac:dyDescent="0.25">
      <c r="A29" s="71"/>
      <c r="B29" s="54"/>
      <c r="C29" s="54"/>
      <c r="D29" s="77"/>
    </row>
    <row r="30" spans="1:7" x14ac:dyDescent="0.25">
      <c r="A30" s="71"/>
      <c r="B30" s="54"/>
      <c r="C30" s="54"/>
      <c r="D30" s="77"/>
    </row>
    <row r="31" spans="1:7" x14ac:dyDescent="0.25">
      <c r="A31" s="71"/>
      <c r="B31" s="54"/>
      <c r="C31" s="54"/>
      <c r="D31" s="77"/>
    </row>
    <row r="32" spans="1:7" x14ac:dyDescent="0.25">
      <c r="A32" s="71"/>
      <c r="B32" s="54"/>
      <c r="C32" s="54"/>
      <c r="D32" s="77"/>
    </row>
    <row r="33" spans="1:4" x14ac:dyDescent="0.25">
      <c r="A33" s="71"/>
      <c r="B33" s="54"/>
      <c r="C33" s="54"/>
      <c r="D33" s="77"/>
    </row>
    <row r="34" spans="1:4" x14ac:dyDescent="0.25">
      <c r="A34" s="71"/>
      <c r="B34" s="54"/>
      <c r="C34" s="54"/>
      <c r="D34" s="77"/>
    </row>
    <row r="35" spans="1:4" x14ac:dyDescent="0.25">
      <c r="A35" s="71"/>
      <c r="B35" s="54"/>
      <c r="C35" s="54"/>
      <c r="D35" s="77"/>
    </row>
    <row r="36" spans="1:4" x14ac:dyDescent="0.25">
      <c r="A36" s="71"/>
      <c r="B36" s="54"/>
      <c r="C36" s="54"/>
      <c r="D36" s="77"/>
    </row>
    <row r="37" spans="1:4" x14ac:dyDescent="0.25">
      <c r="A37" s="71"/>
      <c r="B37" s="54"/>
      <c r="C37" s="54"/>
      <c r="D37" s="77"/>
    </row>
    <row r="38" spans="1:4" x14ac:dyDescent="0.25">
      <c r="A38" s="71"/>
      <c r="B38" s="54"/>
      <c r="C38" s="54"/>
      <c r="D38" s="77"/>
    </row>
    <row r="39" spans="1:4" x14ac:dyDescent="0.25">
      <c r="A39" s="71"/>
      <c r="B39" s="54"/>
      <c r="C39" s="54"/>
      <c r="D39" s="77"/>
    </row>
    <row r="40" spans="1:4" x14ac:dyDescent="0.25">
      <c r="A40" s="71"/>
      <c r="B40" s="54"/>
      <c r="C40" s="54"/>
      <c r="D40" s="77"/>
    </row>
    <row r="41" spans="1:4" x14ac:dyDescent="0.25">
      <c r="A41" s="71"/>
      <c r="B41" s="54"/>
      <c r="C41" s="54"/>
      <c r="D41" s="77"/>
    </row>
    <row r="42" spans="1:4" x14ac:dyDescent="0.25">
      <c r="A42" s="71"/>
      <c r="B42" s="54"/>
      <c r="C42" s="54"/>
      <c r="D42" s="77"/>
    </row>
    <row r="43" spans="1:4" x14ac:dyDescent="0.25">
      <c r="A43" s="71"/>
      <c r="B43" s="54"/>
      <c r="C43" s="54"/>
      <c r="D43" s="77"/>
    </row>
    <row r="44" spans="1:4" x14ac:dyDescent="0.25">
      <c r="A44" s="71"/>
      <c r="B44" s="54"/>
      <c r="C44" s="54"/>
      <c r="D44" s="77"/>
    </row>
    <row r="45" spans="1:4" x14ac:dyDescent="0.25">
      <c r="A45" s="71"/>
      <c r="B45" s="54"/>
      <c r="C45" s="54"/>
      <c r="D45" s="77"/>
    </row>
    <row r="46" spans="1:4" x14ac:dyDescent="0.25">
      <c r="A46" s="71"/>
      <c r="B46" s="54"/>
      <c r="C46" s="54"/>
      <c r="D46" s="77"/>
    </row>
    <row r="47" spans="1:4" x14ac:dyDescent="0.25">
      <c r="A47" s="70"/>
      <c r="B47" s="54"/>
      <c r="C47" s="54"/>
      <c r="D47" s="77"/>
    </row>
    <row r="48" spans="1:4" x14ac:dyDescent="0.25">
      <c r="A48" s="70"/>
      <c r="B48" s="54"/>
      <c r="C48" s="54"/>
      <c r="D48" s="77"/>
    </row>
    <row r="49" spans="1:4" x14ac:dyDescent="0.25">
      <c r="A49" s="70"/>
      <c r="B49" s="54"/>
      <c r="C49" s="54"/>
      <c r="D49" s="54"/>
    </row>
    <row r="50" spans="1:4" x14ac:dyDescent="0.25">
      <c r="A50" s="70"/>
      <c r="B50" s="54"/>
      <c r="C50" s="54"/>
      <c r="D50" s="54"/>
    </row>
    <row r="51" spans="1:4" x14ac:dyDescent="0.25">
      <c r="A51" s="70"/>
      <c r="B51" s="54"/>
      <c r="C51" s="54"/>
      <c r="D51" s="54"/>
    </row>
    <row r="52" spans="1:4" x14ac:dyDescent="0.25">
      <c r="A52" s="70"/>
      <c r="B52" s="54"/>
      <c r="C52" s="54"/>
      <c r="D52" s="54"/>
    </row>
    <row r="53" spans="1:4" x14ac:dyDescent="0.25">
      <c r="A53" s="70"/>
      <c r="B53" s="54"/>
      <c r="C53" s="54"/>
      <c r="D53" s="54"/>
    </row>
    <row r="54" spans="1:4" x14ac:dyDescent="0.25">
      <c r="A54" s="70"/>
      <c r="B54" s="54"/>
      <c r="C54" s="54"/>
      <c r="D54" s="54"/>
    </row>
    <row r="55" spans="1:4" x14ac:dyDescent="0.25">
      <c r="A55" s="70"/>
      <c r="B55" s="54"/>
      <c r="C55" s="54"/>
      <c r="D55" s="54"/>
    </row>
    <row r="56" spans="1:4" x14ac:dyDescent="0.25">
      <c r="A56" s="70"/>
      <c r="B56" s="54"/>
      <c r="C56" s="54"/>
      <c r="D56" s="54"/>
    </row>
    <row r="57" spans="1:4" x14ac:dyDescent="0.25">
      <c r="A57" s="70"/>
      <c r="B57" s="54"/>
      <c r="C57" s="54"/>
      <c r="D57" s="54"/>
    </row>
    <row r="58" spans="1:4" x14ac:dyDescent="0.25">
      <c r="A58" s="70"/>
      <c r="B58" s="54"/>
      <c r="C58" s="54"/>
      <c r="D58" s="54"/>
    </row>
    <row r="59" spans="1:4" x14ac:dyDescent="0.25">
      <c r="A59" s="70"/>
      <c r="B59" s="54"/>
      <c r="C59" s="54"/>
      <c r="D59" s="54"/>
    </row>
    <row r="60" spans="1:4" x14ac:dyDescent="0.25">
      <c r="A60" s="70"/>
      <c r="B60" s="54"/>
      <c r="C60" s="54"/>
      <c r="D60" s="54"/>
    </row>
    <row r="61" spans="1:4" x14ac:dyDescent="0.25">
      <c r="C61" s="18"/>
      <c r="D61" s="18"/>
    </row>
  </sheetData>
  <mergeCells count="2">
    <mergeCell ref="A4:E4"/>
    <mergeCell ref="A1:F1"/>
  </mergeCells>
  <hyperlinks>
    <hyperlink ref="A1" location="Overview!B25" display="My hyperlink" xr:uid="{00000000-0004-0000-0200-000000000000}"/>
    <hyperlink ref="I1" location="Overview!A1" display="Overview" xr:uid="{00000000-0004-0000-0200-000001000000}"/>
    <hyperlink ref="A7" location="TC_1!B2" display="ETAS_ARC_TC_DcmPgmReset_01" xr:uid="{45DE38EE-9394-4DCF-86B0-D4C1C8627079}"/>
  </hyperlinks>
  <pageMargins left="0.70866141732283472" right="0.70866141732283472" top="0.74803149606299213" bottom="0.74803149606299213" header="0.31496062992125984" footer="0.31496062992125984"/>
  <pageSetup orientation="portrait" r:id="rId1"/>
  <headerFooter>
    <oddHeader>&amp;LTest Specification RTA</oddHeader>
    <oddFooter>&amp;RPage &amp;P of &amp;N
Template: 00TE00434 V02 - released
File: &amp;F / Sheet: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Button2_Click">
                <anchor moveWithCells="1" sizeWithCells="1">
                  <from>
                    <xdr:col>5</xdr:col>
                    <xdr:colOff>266700</xdr:colOff>
                    <xdr:row>7</xdr:row>
                    <xdr:rowOff>22860</xdr:rowOff>
                  </from>
                  <to>
                    <xdr:col>7</xdr:col>
                    <xdr:colOff>525780</xdr:colOff>
                    <xdr:row>10</xdr:row>
                    <xdr:rowOff>0</xdr:rowOff>
                  </to>
                </anchor>
              </controlPr>
            </control>
          </mc:Choice>
        </mc:AlternateContent>
        <mc:AlternateContent xmlns:mc="http://schemas.openxmlformats.org/markup-compatibility/2006">
          <mc:Choice Requires="x14">
            <control shapeId="3075" r:id="rId5" name="Button 3">
              <controlPr defaultSize="0" print="0" autoFill="0" autoPict="0" macro="[0]!Button1_Click">
                <anchor moveWithCells="1" sizeWithCells="1">
                  <from>
                    <xdr:col>5</xdr:col>
                    <xdr:colOff>266700</xdr:colOff>
                    <xdr:row>3</xdr:row>
                    <xdr:rowOff>137160</xdr:rowOff>
                  </from>
                  <to>
                    <xdr:col>7</xdr:col>
                    <xdr:colOff>556260</xdr:colOff>
                    <xdr:row>6</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6"/>
  <sheetViews>
    <sheetView zoomScaleNormal="100" workbookViewId="0">
      <pane ySplit="3" topLeftCell="A4" activePane="bottomLeft" state="frozen"/>
      <selection pane="bottomLeft" activeCell="N3" sqref="N3"/>
    </sheetView>
  </sheetViews>
  <sheetFormatPr defaultRowHeight="13.2" x14ac:dyDescent="0.25"/>
  <cols>
    <col min="1" max="1" width="17.33203125" customWidth="1"/>
    <col min="2" max="2" width="44.6640625" style="29" customWidth="1"/>
    <col min="3" max="3" width="24.6640625" style="29" customWidth="1"/>
    <col min="4" max="4" width="27" customWidth="1"/>
    <col min="5" max="6" width="23" style="18" customWidth="1"/>
    <col min="7" max="7" width="10" style="18" bestFit="1" customWidth="1"/>
    <col min="8" max="8" width="32" style="18" customWidth="1"/>
    <col min="9" max="9" width="20.88671875" customWidth="1"/>
    <col min="10" max="10" width="22" customWidth="1"/>
    <col min="11" max="15" width="29.88671875" customWidth="1"/>
    <col min="16" max="16" width="12.109375" customWidth="1"/>
    <col min="17" max="17" width="14.33203125" bestFit="1"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31.2" x14ac:dyDescent="0.25">
      <c r="A2" s="27" t="s">
        <v>6</v>
      </c>
      <c r="B2" s="27" t="s">
        <v>19</v>
      </c>
      <c r="C2" s="27" t="s">
        <v>63</v>
      </c>
      <c r="D2" s="27" t="s">
        <v>18</v>
      </c>
      <c r="E2" s="27" t="s">
        <v>20</v>
      </c>
      <c r="F2" s="27" t="s">
        <v>21</v>
      </c>
      <c r="G2" s="27" t="s">
        <v>22</v>
      </c>
      <c r="H2" s="27" t="s">
        <v>23</v>
      </c>
      <c r="I2" s="27" t="s">
        <v>40</v>
      </c>
      <c r="J2" s="27" t="s">
        <v>39</v>
      </c>
      <c r="K2" s="27" t="s">
        <v>42</v>
      </c>
      <c r="L2" s="27" t="s">
        <v>44</v>
      </c>
      <c r="M2" s="27" t="s">
        <v>46</v>
      </c>
      <c r="N2" s="27" t="s">
        <v>47</v>
      </c>
      <c r="O2" s="27" t="s">
        <v>48</v>
      </c>
      <c r="P2" s="27" t="s">
        <v>0</v>
      </c>
      <c r="Q2" s="27" t="s">
        <v>1</v>
      </c>
      <c r="R2" s="27" t="s">
        <v>3</v>
      </c>
    </row>
    <row r="3" spans="1:18" ht="81.599999999999994" x14ac:dyDescent="0.25">
      <c r="A3" s="28" t="s">
        <v>38</v>
      </c>
      <c r="B3" s="28" t="s">
        <v>37</v>
      </c>
      <c r="C3" s="28" t="s">
        <v>64</v>
      </c>
      <c r="D3" s="28" t="s">
        <v>36</v>
      </c>
      <c r="E3" s="28" t="s">
        <v>35</v>
      </c>
      <c r="F3" s="28" t="s">
        <v>34</v>
      </c>
      <c r="G3" s="28" t="s">
        <v>33</v>
      </c>
      <c r="H3" s="28" t="s">
        <v>32</v>
      </c>
      <c r="I3" s="28" t="s">
        <v>41</v>
      </c>
      <c r="J3" s="28" t="s">
        <v>41</v>
      </c>
      <c r="K3" s="28" t="s">
        <v>43</v>
      </c>
      <c r="L3" s="28" t="s">
        <v>45</v>
      </c>
      <c r="M3" s="28"/>
      <c r="N3" s="28"/>
      <c r="O3" s="28"/>
      <c r="P3" s="27"/>
      <c r="Q3" s="27"/>
      <c r="R3" s="27"/>
    </row>
    <row r="4" spans="1:18" ht="43.5" customHeight="1" x14ac:dyDescent="0.25">
      <c r="A4" s="20"/>
      <c r="B4" s="21"/>
      <c r="C4" s="21"/>
      <c r="D4" s="22"/>
      <c r="E4" s="23"/>
      <c r="F4" s="24"/>
      <c r="G4" s="24"/>
      <c r="H4" s="24"/>
      <c r="I4" s="24"/>
      <c r="J4" s="24"/>
      <c r="K4" s="24"/>
      <c r="L4" s="24"/>
      <c r="M4" s="24"/>
      <c r="N4" s="24"/>
      <c r="O4" s="24"/>
      <c r="P4" s="25" t="s">
        <v>2</v>
      </c>
      <c r="Q4" s="26" t="s">
        <v>5</v>
      </c>
    </row>
    <row r="5" spans="1:18" ht="14.4" x14ac:dyDescent="0.25">
      <c r="A5" s="5"/>
      <c r="B5" s="6"/>
      <c r="C5" s="6"/>
      <c r="D5" s="7"/>
      <c r="E5" s="9"/>
      <c r="F5" s="1"/>
      <c r="G5" s="2"/>
      <c r="H5" s="2"/>
      <c r="I5" s="2"/>
      <c r="J5" s="2"/>
      <c r="K5" s="2"/>
      <c r="L5" s="2"/>
      <c r="M5" s="2"/>
      <c r="N5" s="2"/>
      <c r="O5" s="2"/>
      <c r="P5" s="8" t="s">
        <v>2</v>
      </c>
      <c r="Q5" s="1" t="s">
        <v>5</v>
      </c>
    </row>
    <row r="6" spans="1:18" ht="14.4" x14ac:dyDescent="0.25">
      <c r="A6" s="5"/>
      <c r="B6" s="6"/>
      <c r="C6" s="6"/>
      <c r="D6" s="7"/>
      <c r="E6" s="9"/>
      <c r="F6" s="2"/>
      <c r="G6" s="1"/>
      <c r="H6" s="2"/>
      <c r="I6" s="2"/>
      <c r="J6" s="2"/>
      <c r="K6" s="2"/>
      <c r="L6" s="2"/>
      <c r="M6" s="2"/>
      <c r="N6" s="2"/>
      <c r="O6" s="2"/>
      <c r="P6" s="8" t="s">
        <v>2</v>
      </c>
      <c r="Q6" s="1" t="s">
        <v>5</v>
      </c>
    </row>
    <row r="7" spans="1:18" ht="14.4" x14ac:dyDescent="0.25">
      <c r="A7" s="5"/>
      <c r="B7" s="6"/>
      <c r="C7" s="6"/>
      <c r="D7" s="7"/>
      <c r="E7" s="2"/>
      <c r="F7" s="2"/>
      <c r="G7" s="1"/>
      <c r="H7" s="2"/>
      <c r="I7" s="2"/>
      <c r="J7" s="2"/>
      <c r="K7" s="2"/>
      <c r="L7" s="2"/>
      <c r="M7" s="2"/>
      <c r="N7" s="2"/>
      <c r="O7" s="2"/>
      <c r="P7" s="8" t="s">
        <v>2</v>
      </c>
      <c r="Q7" s="1" t="s">
        <v>5</v>
      </c>
    </row>
    <row r="8" spans="1:18" ht="28.8" x14ac:dyDescent="0.25">
      <c r="A8" s="10"/>
      <c r="B8" s="6"/>
      <c r="C8" s="6"/>
      <c r="D8" s="7"/>
      <c r="E8" s="2"/>
      <c r="F8" s="2"/>
      <c r="G8" s="1"/>
      <c r="H8" s="2"/>
      <c r="I8" s="2"/>
      <c r="J8" s="2"/>
      <c r="K8" s="2"/>
      <c r="L8" s="2"/>
      <c r="M8" s="2"/>
      <c r="N8" s="2"/>
      <c r="O8" s="2"/>
      <c r="P8" s="8" t="s">
        <v>2</v>
      </c>
      <c r="Q8" s="2" t="s">
        <v>5</v>
      </c>
    </row>
    <row r="9" spans="1:18" ht="28.8" x14ac:dyDescent="0.25">
      <c r="A9" s="10"/>
      <c r="B9" s="6"/>
      <c r="C9" s="6"/>
      <c r="D9" s="7"/>
      <c r="E9" s="2"/>
      <c r="F9" s="2"/>
      <c r="G9" s="1"/>
      <c r="H9" s="2"/>
      <c r="I9" s="2"/>
      <c r="J9" s="2"/>
      <c r="K9" s="2"/>
      <c r="L9" s="2"/>
      <c r="M9" s="2"/>
      <c r="N9" s="2"/>
      <c r="O9" s="2"/>
      <c r="P9" s="8" t="s">
        <v>2</v>
      </c>
      <c r="Q9" s="2" t="s">
        <v>5</v>
      </c>
    </row>
    <row r="10" spans="1:18" ht="14.4" x14ac:dyDescent="0.25">
      <c r="A10" s="11"/>
      <c r="B10" s="12"/>
      <c r="C10" s="12"/>
      <c r="D10" s="7"/>
      <c r="E10" s="2"/>
      <c r="F10" s="2"/>
      <c r="G10" s="2"/>
      <c r="H10" s="2"/>
      <c r="I10" s="2"/>
      <c r="J10" s="2"/>
      <c r="K10" s="2"/>
      <c r="L10" s="2"/>
      <c r="M10" s="2"/>
      <c r="N10" s="2"/>
      <c r="O10" s="2"/>
      <c r="P10" s="8" t="s">
        <v>2</v>
      </c>
      <c r="Q10" s="1" t="s">
        <v>5</v>
      </c>
    </row>
    <row r="11" spans="1:18" ht="14.4" x14ac:dyDescent="0.25">
      <c r="A11" s="10"/>
      <c r="B11" s="12"/>
      <c r="C11" s="12"/>
      <c r="D11" s="7"/>
      <c r="E11" s="2"/>
      <c r="F11" s="2"/>
      <c r="G11" s="2"/>
      <c r="H11" s="2"/>
      <c r="I11" s="2"/>
      <c r="J11" s="2"/>
      <c r="K11" s="2"/>
      <c r="L11" s="2"/>
      <c r="M11" s="2"/>
      <c r="N11" s="2"/>
      <c r="O11" s="2"/>
      <c r="P11" s="8" t="s">
        <v>2</v>
      </c>
      <c r="Q11" s="3" t="s">
        <v>5</v>
      </c>
    </row>
    <row r="12" spans="1:18" ht="14.4" x14ac:dyDescent="0.25">
      <c r="A12" s="10"/>
      <c r="B12" s="6"/>
      <c r="C12" s="6"/>
      <c r="D12" s="7"/>
      <c r="E12" s="1"/>
      <c r="F12" s="2"/>
      <c r="G12" s="2"/>
      <c r="H12" s="2"/>
      <c r="I12" s="2"/>
      <c r="J12" s="2"/>
      <c r="K12" s="2"/>
      <c r="L12" s="2"/>
      <c r="M12" s="2"/>
      <c r="N12" s="2"/>
      <c r="O12" s="2"/>
      <c r="P12" s="8" t="s">
        <v>2</v>
      </c>
      <c r="Q12" s="3" t="s">
        <v>5</v>
      </c>
    </row>
    <row r="13" spans="1:18" ht="14.4" x14ac:dyDescent="0.25">
      <c r="A13" s="10"/>
      <c r="B13" s="6"/>
      <c r="C13" s="6"/>
      <c r="D13" s="7"/>
      <c r="E13" s="1"/>
      <c r="F13" s="2"/>
      <c r="G13" s="2"/>
      <c r="H13" s="2"/>
      <c r="I13" s="2"/>
      <c r="J13" s="2"/>
      <c r="K13" s="2"/>
      <c r="L13" s="2"/>
      <c r="M13" s="2"/>
      <c r="N13" s="2"/>
      <c r="O13" s="2"/>
      <c r="P13" s="8" t="s">
        <v>2</v>
      </c>
      <c r="Q13" s="3" t="s">
        <v>5</v>
      </c>
    </row>
    <row r="14" spans="1:18" ht="14.4" x14ac:dyDescent="0.25">
      <c r="A14" s="10"/>
      <c r="B14" s="6"/>
      <c r="C14" s="6"/>
      <c r="D14" s="7"/>
      <c r="E14" s="1"/>
      <c r="F14" s="2"/>
      <c r="G14" s="2"/>
      <c r="H14" s="2"/>
      <c r="I14" s="2"/>
      <c r="J14" s="2"/>
      <c r="K14" s="2"/>
      <c r="L14" s="2"/>
      <c r="M14" s="2"/>
      <c r="N14" s="2"/>
      <c r="O14" s="2"/>
      <c r="P14" s="8" t="s">
        <v>2</v>
      </c>
      <c r="Q14" s="3" t="s">
        <v>5</v>
      </c>
    </row>
    <row r="15" spans="1:18" ht="14.4" x14ac:dyDescent="0.25">
      <c r="A15" s="10"/>
      <c r="B15" s="13"/>
      <c r="C15" s="13"/>
      <c r="D15" s="7"/>
      <c r="E15" s="1"/>
      <c r="F15" s="2"/>
      <c r="G15" s="1"/>
      <c r="H15" s="2"/>
      <c r="I15" s="2"/>
      <c r="J15" s="2"/>
      <c r="K15" s="2"/>
      <c r="L15" s="2"/>
      <c r="M15" s="2"/>
      <c r="N15" s="2"/>
      <c r="O15" s="2"/>
      <c r="P15" s="15" t="s">
        <v>2</v>
      </c>
      <c r="Q15" s="3" t="s">
        <v>5</v>
      </c>
    </row>
    <row r="16" spans="1:18" ht="14.4" x14ac:dyDescent="0.25">
      <c r="A16" s="10"/>
      <c r="B16" s="16"/>
      <c r="C16" s="16"/>
      <c r="D16" s="14"/>
      <c r="E16" s="1"/>
      <c r="F16" s="2"/>
      <c r="G16" s="1"/>
      <c r="H16" s="2"/>
      <c r="I16" s="2"/>
      <c r="J16" s="2"/>
      <c r="K16" s="2"/>
      <c r="L16" s="2"/>
      <c r="M16" s="2"/>
      <c r="N16" s="2"/>
      <c r="O16" s="2"/>
      <c r="P16" s="15" t="s">
        <v>2</v>
      </c>
      <c r="Q16" s="4" t="s">
        <v>4</v>
      </c>
    </row>
  </sheetData>
  <mergeCells count="1">
    <mergeCell ref="A1:R1"/>
  </mergeCells>
  <conditionalFormatting sqref="P2:P12 P14:P16">
    <cfRule type="containsText" dxfId="5" priority="10" operator="containsText" text="NA">
      <formula>NOT(ISERROR(SEARCH("NA",P2)))</formula>
    </cfRule>
    <cfRule type="containsText" dxfId="4" priority="11" operator="containsText" text="Fail">
      <formula>NOT(ISERROR(SEARCH("Fail",P2)))</formula>
    </cfRule>
    <cfRule type="containsText" dxfId="3" priority="12" operator="containsText" text="Pass">
      <formula>NOT(ISERROR(SEARCH("Pass",P2)))</formula>
    </cfRule>
  </conditionalFormatting>
  <conditionalFormatting sqref="P13">
    <cfRule type="containsText" dxfId="2" priority="1" operator="containsText" text="NA">
      <formula>NOT(ISERROR(SEARCH("NA",P13)))</formula>
    </cfRule>
    <cfRule type="containsText" dxfId="1" priority="2" operator="containsText" text="Fail">
      <formula>NOT(ISERROR(SEARCH("Fail",P13)))</formula>
    </cfRule>
    <cfRule type="containsText" dxfId="0" priority="3" operator="containsText" text="Pass">
      <formula>NOT(ISERROR(SEARCH("Pass",P13)))</formula>
    </cfRule>
  </conditionalFormatting>
  <pageMargins left="0.70866141732283472" right="0.70866141732283472" top="0.74803149606299213" bottom="0.74803149606299213" header="0.31496062992125984" footer="0.31496062992125984"/>
  <pageSetup orientation="portrait" horizontalDpi="90" verticalDpi="90" r:id="rId1"/>
  <headerFooter>
    <oddHeader>&amp;LTest Specification RTA&amp;R&amp;G</oddHeader>
    <oddFooter>&amp;LIf printed, this document is an uncontrolled copy.&amp;CConfidential&amp;RPage &amp;P of &amp;N
Template: 00TE00350 V03 - released
File: &amp;F / Sheet: &amp;A</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Data!$C$3:$C$6</xm:f>
          </x14:formula1>
          <xm:sqref>E4:E16</xm:sqref>
        </x14:dataValidation>
        <x14:dataValidation type="list" allowBlank="1" showInputMessage="1" showErrorMessage="1" xr:uid="{00000000-0002-0000-0300-000001000000}">
          <x14:formula1>
            <xm:f>Data!$D$3:$D$6</xm:f>
          </x14:formula1>
          <xm:sqref>F4:F16</xm:sqref>
        </x14:dataValidation>
        <x14:dataValidation type="list" allowBlank="1" showInputMessage="1" showErrorMessage="1" xr:uid="{00000000-0002-0000-0300-000002000000}">
          <x14:formula1>
            <xm:f>Data!$E$3:$E$5</xm:f>
          </x14:formula1>
          <xm:sqref>G4:G16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R24"/>
  <sheetViews>
    <sheetView zoomScale="120" zoomScaleNormal="120" workbookViewId="0">
      <pane ySplit="1" topLeftCell="A2" activePane="bottomLeft" state="frozen"/>
      <selection pane="bottomLeft" activeCell="C4" sqref="C4"/>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54"/>
      <c r="C2" s="52" t="s">
        <v>38</v>
      </c>
      <c r="E2" s="64" t="s">
        <v>77</v>
      </c>
    </row>
    <row r="3" spans="1:18" ht="41.4" x14ac:dyDescent="0.25">
      <c r="A3" s="51" t="s">
        <v>100</v>
      </c>
      <c r="B3" s="54"/>
      <c r="C3" s="52" t="s">
        <v>101</v>
      </c>
    </row>
    <row r="4" spans="1:18" ht="31.2" x14ac:dyDescent="0.25">
      <c r="A4" s="51" t="s">
        <v>102</v>
      </c>
      <c r="B4" s="54"/>
      <c r="C4" s="52" t="s">
        <v>103</v>
      </c>
    </row>
    <row r="5" spans="1:18" ht="21" x14ac:dyDescent="0.25">
      <c r="A5" s="51" t="s">
        <v>18</v>
      </c>
      <c r="B5" s="54"/>
      <c r="C5" s="52" t="s">
        <v>104</v>
      </c>
    </row>
    <row r="6" spans="1:18" ht="31.2" x14ac:dyDescent="0.25">
      <c r="A6" s="51" t="s">
        <v>82</v>
      </c>
      <c r="B6" s="54"/>
      <c r="C6" s="52" t="s">
        <v>105</v>
      </c>
    </row>
    <row r="7" spans="1:18" ht="21" x14ac:dyDescent="0.25">
      <c r="A7" s="51" t="s">
        <v>22</v>
      </c>
      <c r="B7" s="54"/>
      <c r="C7" s="52" t="s">
        <v>106</v>
      </c>
    </row>
    <row r="8" spans="1:18" ht="21" x14ac:dyDescent="0.25">
      <c r="A8" s="51" t="s">
        <v>81</v>
      </c>
      <c r="B8" s="54"/>
      <c r="C8" s="52" t="s">
        <v>107</v>
      </c>
    </row>
    <row r="9" spans="1:18" ht="31.2" x14ac:dyDescent="0.25">
      <c r="A9" s="51" t="s">
        <v>108</v>
      </c>
      <c r="B9" s="54"/>
      <c r="C9" s="52" t="s">
        <v>41</v>
      </c>
    </row>
    <row r="10" spans="1:18" ht="61.8" x14ac:dyDescent="0.25">
      <c r="A10" s="51" t="s">
        <v>42</v>
      </c>
      <c r="B10" s="54"/>
      <c r="C10" s="52" t="s">
        <v>43</v>
      </c>
    </row>
    <row r="11" spans="1:18" s="19" customFormat="1" ht="19.95" customHeight="1" x14ac:dyDescent="0.25">
      <c r="A11" s="55" t="s">
        <v>66</v>
      </c>
      <c r="B11" s="55" t="s">
        <v>65</v>
      </c>
      <c r="C11" s="55" t="s">
        <v>47</v>
      </c>
      <c r="D11" s="56" t="s">
        <v>48</v>
      </c>
      <c r="E11"/>
      <c r="F11"/>
      <c r="G11"/>
    </row>
    <row r="12" spans="1:18" x14ac:dyDescent="0.25">
      <c r="A12" s="54"/>
      <c r="B12" s="52"/>
      <c r="C12" s="54"/>
      <c r="D12" s="54"/>
    </row>
    <row r="13" spans="1:18" x14ac:dyDescent="0.25">
      <c r="A13" s="54"/>
      <c r="B13" s="52"/>
      <c r="C13" s="54"/>
      <c r="D13" s="54"/>
    </row>
    <row r="14" spans="1:18" x14ac:dyDescent="0.25">
      <c r="A14" s="54"/>
      <c r="B14" s="52"/>
      <c r="C14" s="54"/>
      <c r="D14" s="54"/>
    </row>
    <row r="15" spans="1:18" x14ac:dyDescent="0.25">
      <c r="A15" s="54"/>
      <c r="B15" s="52"/>
      <c r="C15" s="54"/>
      <c r="D15" s="54"/>
    </row>
    <row r="16" spans="1:18" x14ac:dyDescent="0.25">
      <c r="A16" s="54"/>
      <c r="B16" s="54"/>
      <c r="C16" s="54"/>
      <c r="D16" s="54"/>
    </row>
    <row r="17" spans="1:4" x14ac:dyDescent="0.25">
      <c r="A17" s="54"/>
      <c r="B17" s="54"/>
      <c r="C17" s="54"/>
      <c r="D17" s="54"/>
    </row>
    <row r="18" spans="1:4" x14ac:dyDescent="0.25">
      <c r="A18" s="54"/>
      <c r="B18" s="54"/>
      <c r="C18" s="54"/>
      <c r="D18" s="54"/>
    </row>
    <row r="19" spans="1:4" x14ac:dyDescent="0.25">
      <c r="A19" s="54"/>
      <c r="B19" s="54"/>
      <c r="C19" s="54"/>
      <c r="D19" s="54"/>
    </row>
    <row r="20" spans="1:4" x14ac:dyDescent="0.25">
      <c r="A20" s="54"/>
      <c r="B20" s="54"/>
      <c r="C20" s="54"/>
      <c r="D20" s="54"/>
    </row>
    <row r="21" spans="1:4" x14ac:dyDescent="0.25">
      <c r="A21" s="54"/>
      <c r="B21" s="54"/>
      <c r="C21" s="54"/>
      <c r="D21" s="54"/>
    </row>
    <row r="22" spans="1:4" x14ac:dyDescent="0.25">
      <c r="A22" s="54"/>
      <c r="B22" s="54"/>
      <c r="C22" s="54"/>
      <c r="D22" s="54"/>
    </row>
    <row r="23" spans="1:4" ht="24" customHeight="1" x14ac:dyDescent="0.25">
      <c r="A23" s="56" t="s">
        <v>0</v>
      </c>
      <c r="B23" s="54"/>
    </row>
    <row r="24" spans="1:4" ht="34.200000000000003" customHeight="1" x14ac:dyDescent="0.25">
      <c r="A24" s="56" t="s">
        <v>1</v>
      </c>
      <c r="B24" s="54"/>
    </row>
  </sheetData>
  <mergeCells count="1">
    <mergeCell ref="A1:R1"/>
  </mergeCells>
  <hyperlinks>
    <hyperlink ref="E2" location="Overview!A1" display="Overview" xr:uid="{00000000-0004-0000-0400-000000000000}"/>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0000000}">
          <x14:formula1>
            <xm:f>Data!$F$3:$F$6</xm:f>
          </x14:formula1>
          <xm:sqref>B23</xm:sqref>
        </x14:dataValidation>
        <x14:dataValidation type="list" allowBlank="1" showInputMessage="1" showErrorMessage="1" xr:uid="{00000000-0002-0000-0400-000001000000}">
          <x14:formula1>
            <xm:f>Data!$B$3:$B$6</xm:f>
          </x14:formula1>
          <xm:sqref>B8</xm:sqref>
        </x14:dataValidation>
        <x14:dataValidation type="list" allowBlank="1" showInputMessage="1" showErrorMessage="1" xr:uid="{00000000-0002-0000-0400-000002000000}">
          <x14:formula1>
            <xm:f>Data!$E$3:$E$5</xm:f>
          </x14:formula1>
          <xm:sqref>B7</xm:sqref>
        </x14:dataValidation>
        <x14:dataValidation type="list" allowBlank="1" showInputMessage="1" showErrorMessage="1" xr:uid="{00000000-0002-0000-0400-000003000000}">
          <x14:formula1>
            <xm:f>Data!$D$3:$D$12</xm:f>
          </x14:formula1>
          <xm:sqref>B6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K12"/>
  <sheetViews>
    <sheetView workbookViewId="0">
      <selection activeCell="G4" sqref="G4"/>
    </sheetView>
  </sheetViews>
  <sheetFormatPr defaultRowHeight="13.2" x14ac:dyDescent="0.25"/>
  <cols>
    <col min="3" max="3" width="40.109375" bestFit="1" customWidth="1"/>
    <col min="4" max="4" width="22.5546875" bestFit="1" customWidth="1"/>
    <col min="5" max="5" width="13.109375" customWidth="1"/>
    <col min="6" max="6" width="13.5546875" customWidth="1"/>
    <col min="11" max="11" width="9.88671875" bestFit="1" customWidth="1"/>
  </cols>
  <sheetData>
    <row r="1" spans="1:11" ht="24.6" x14ac:dyDescent="0.25">
      <c r="A1" s="93" t="str">
        <f>CONCATENATE('Meta Data'!D6,   "Test specification")</f>
        <v>ETAS_BIP_PT_ARCMW_11.1_CAL60S244AB_CAR921Test specification</v>
      </c>
      <c r="B1" s="93"/>
      <c r="C1" s="93"/>
      <c r="D1" s="93"/>
      <c r="E1" s="93"/>
      <c r="F1" s="93"/>
      <c r="K1" s="64" t="s">
        <v>77</v>
      </c>
    </row>
    <row r="2" spans="1:11" ht="52.8" x14ac:dyDescent="0.25">
      <c r="B2" s="19" t="s">
        <v>81</v>
      </c>
      <c r="C2" s="19" t="s">
        <v>20</v>
      </c>
      <c r="D2" s="19" t="s">
        <v>82</v>
      </c>
      <c r="E2" s="19" t="s">
        <v>22</v>
      </c>
      <c r="F2" s="19" t="s">
        <v>28</v>
      </c>
      <c r="G2" s="59" t="s">
        <v>71</v>
      </c>
    </row>
    <row r="3" spans="1:11" x14ac:dyDescent="0.25">
      <c r="B3" t="s">
        <v>83</v>
      </c>
      <c r="C3" t="s">
        <v>24</v>
      </c>
      <c r="D3" t="s">
        <v>84</v>
      </c>
      <c r="E3" t="s">
        <v>85</v>
      </c>
      <c r="F3" t="s">
        <v>29</v>
      </c>
      <c r="G3" s="63">
        <v>2</v>
      </c>
    </row>
    <row r="4" spans="1:11" x14ac:dyDescent="0.25">
      <c r="B4" t="s">
        <v>86</v>
      </c>
      <c r="C4" t="s">
        <v>25</v>
      </c>
      <c r="D4" t="s">
        <v>87</v>
      </c>
      <c r="E4" t="s">
        <v>88</v>
      </c>
      <c r="F4" t="s">
        <v>30</v>
      </c>
    </row>
    <row r="5" spans="1:11" x14ac:dyDescent="0.25">
      <c r="B5" t="s">
        <v>89</v>
      </c>
      <c r="C5" t="s">
        <v>26</v>
      </c>
      <c r="D5" t="s">
        <v>90</v>
      </c>
      <c r="E5" t="s">
        <v>91</v>
      </c>
      <c r="F5" t="s">
        <v>31</v>
      </c>
    </row>
    <row r="6" spans="1:11" x14ac:dyDescent="0.25">
      <c r="B6" t="s">
        <v>92</v>
      </c>
      <c r="C6" t="s">
        <v>27</v>
      </c>
      <c r="D6" t="s">
        <v>93</v>
      </c>
    </row>
    <row r="7" spans="1:11" x14ac:dyDescent="0.25">
      <c r="D7" t="s">
        <v>94</v>
      </c>
    </row>
    <row r="8" spans="1:11" x14ac:dyDescent="0.25">
      <c r="D8" t="s">
        <v>95</v>
      </c>
    </row>
    <row r="9" spans="1:11" x14ac:dyDescent="0.25">
      <c r="D9" t="s">
        <v>96</v>
      </c>
    </row>
    <row r="10" spans="1:11" x14ac:dyDescent="0.25">
      <c r="D10" t="s">
        <v>97</v>
      </c>
    </row>
    <row r="11" spans="1:11" x14ac:dyDescent="0.25">
      <c r="D11" t="s">
        <v>98</v>
      </c>
    </row>
    <row r="12" spans="1:11" x14ac:dyDescent="0.25">
      <c r="D12" t="s">
        <v>99</v>
      </c>
    </row>
  </sheetData>
  <mergeCells count="1">
    <mergeCell ref="A1:F1"/>
  </mergeCells>
  <hyperlinks>
    <hyperlink ref="K1" location="Overview!A1" display="Overview" xr:uid="{00000000-0004-0000-0500-000000000000}"/>
  </hyperlinks>
  <pageMargins left="0.70866141732283472" right="0.70866141732283472" top="0.74803149606299213" bottom="0.74803149606299213" header="0.31496062992125984" footer="0.31496062992125984"/>
  <pageSetup paperSize="9" orientation="portrait" horizontalDpi="300" r:id="rId1"/>
  <headerFooter>
    <oddHeader>&amp;LTest Specification RTA&amp;R&amp;G</oddHeader>
    <oddFooter>&amp;LIf printed, this document is an uncontrolled copy.&amp;CConfidential&amp;RPage &amp;P of &amp;N
Template: 00TE00434 V02 - released
File: &amp;F / Sheet: &amp;A</oddFoot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D7"/>
  <sheetViews>
    <sheetView zoomScaleNormal="100" workbookViewId="0">
      <selection activeCell="D1" sqref="D1"/>
    </sheetView>
  </sheetViews>
  <sheetFormatPr defaultRowHeight="13.2" x14ac:dyDescent="0.25"/>
  <cols>
    <col min="1" max="1" width="144.44140625" customWidth="1"/>
    <col min="3" max="3" width="40.109375" bestFit="1" customWidth="1"/>
    <col min="4" max="4" width="22.5546875" bestFit="1" customWidth="1"/>
    <col min="5" max="5" width="13.109375" customWidth="1"/>
    <col min="6" max="6" width="13.5546875" customWidth="1"/>
  </cols>
  <sheetData>
    <row r="1" spans="1:4" ht="24.6" x14ac:dyDescent="0.25">
      <c r="A1" s="65" t="str">
        <f>CONCATENATE('Meta Data'!D6,   "Test specification")</f>
        <v>ETAS_BIP_PT_ARCMW_11.1_CAL60S244AB_CAR921Test specification</v>
      </c>
      <c r="D1" s="64" t="s">
        <v>77</v>
      </c>
    </row>
    <row r="2" spans="1:4" ht="17.399999999999999" x14ac:dyDescent="0.3">
      <c r="A2" s="60" t="s">
        <v>72</v>
      </c>
    </row>
    <row r="3" spans="1:4" ht="76.95" customHeight="1" x14ac:dyDescent="0.25">
      <c r="A3" s="18" t="s">
        <v>73</v>
      </c>
    </row>
    <row r="4" spans="1:4" ht="70.2" x14ac:dyDescent="0.25">
      <c r="A4" s="61" t="s">
        <v>75</v>
      </c>
    </row>
    <row r="5" spans="1:4" ht="74.400000000000006" x14ac:dyDescent="0.25">
      <c r="A5" s="61" t="s">
        <v>76</v>
      </c>
    </row>
    <row r="6" spans="1:4" ht="87.6" x14ac:dyDescent="0.25">
      <c r="A6" s="61" t="s">
        <v>79</v>
      </c>
    </row>
    <row r="7" spans="1:4" ht="57" x14ac:dyDescent="0.25">
      <c r="A7" s="61" t="s">
        <v>80</v>
      </c>
    </row>
  </sheetData>
  <hyperlinks>
    <hyperlink ref="D1" location="Overview!A1" display="Overview" xr:uid="{00000000-0004-0000-0600-000000000000}"/>
  </hyperlinks>
  <pageMargins left="0.70866141732283472" right="0.70866141732283472" top="0.74803149606299213" bottom="0.74803149606299213" header="0.31496062992125984" footer="0.31496062992125984"/>
  <pageSetup paperSize="9"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4" r:id="rId5" name="Button 2">
              <controlPr defaultSize="0" print="0" autoFill="0" autoPict="0" macro="[0]!Button2_Click">
                <anchor moveWithCells="1" sizeWithCells="1">
                  <from>
                    <xdr:col>9</xdr:col>
                    <xdr:colOff>213360</xdr:colOff>
                    <xdr:row>4</xdr:row>
                    <xdr:rowOff>0</xdr:rowOff>
                  </from>
                  <to>
                    <xdr:col>11</xdr:col>
                    <xdr:colOff>480060</xdr:colOff>
                    <xdr:row>4</xdr:row>
                    <xdr:rowOff>487680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9BEA5-6F66-4DB3-88E9-6642FC14E6AD}">
  <sheetPr codeName="Sheet15"/>
  <dimension ref="A1:R26"/>
  <sheetViews>
    <sheetView zoomScale="120" zoomScaleNormal="120" workbookViewId="0">
      <pane ySplit="1" topLeftCell="A2" activePane="bottomLeft" state="frozen"/>
      <selection pane="bottomLeft" activeCell="B2" sqref="B2"/>
    </sheetView>
  </sheetViews>
  <sheetFormatPr defaultRowHeight="13.2" x14ac:dyDescent="0.25"/>
  <cols>
    <col min="1" max="1" width="23.5546875" bestFit="1" customWidth="1"/>
    <col min="2" max="2" width="35.33203125" customWidth="1"/>
    <col min="3" max="3" width="46.88671875" customWidth="1"/>
    <col min="4" max="4" width="43.88671875" customWidth="1"/>
    <col min="5" max="5" width="19.5546875" customWidth="1"/>
    <col min="6" max="6" width="23.6640625" customWidth="1"/>
  </cols>
  <sheetData>
    <row r="1" spans="1:18" ht="24.6" x14ac:dyDescent="0.25">
      <c r="A1" s="107" t="str">
        <f>Overview!A1</f>
        <v>ETAS_BIP_PT_ARCMW_11.1_CAL60S244AB_CAR921Test specification</v>
      </c>
      <c r="B1" s="107"/>
      <c r="C1" s="107"/>
      <c r="D1" s="107"/>
      <c r="E1" s="107"/>
      <c r="F1" s="107"/>
      <c r="G1" s="107"/>
      <c r="H1" s="107"/>
      <c r="I1" s="107"/>
      <c r="J1" s="107"/>
      <c r="K1" s="107"/>
      <c r="L1" s="107"/>
      <c r="M1" s="107"/>
      <c r="N1" s="107"/>
      <c r="O1" s="107"/>
      <c r="P1" s="107"/>
      <c r="Q1" s="107"/>
      <c r="R1" s="107"/>
    </row>
    <row r="2" spans="1:18" ht="26.4" x14ac:dyDescent="0.25">
      <c r="A2" s="51" t="s">
        <v>6</v>
      </c>
      <c r="B2" s="70" t="s">
        <v>132</v>
      </c>
      <c r="C2" s="69" t="s">
        <v>38</v>
      </c>
      <c r="E2" s="64" t="s">
        <v>77</v>
      </c>
    </row>
    <row r="3" spans="1:18" ht="41.4" x14ac:dyDescent="0.25">
      <c r="A3" s="51" t="s">
        <v>100</v>
      </c>
      <c r="B3" s="70" t="s">
        <v>133</v>
      </c>
      <c r="C3" s="69" t="s">
        <v>101</v>
      </c>
    </row>
    <row r="4" spans="1:18" ht="31.2" x14ac:dyDescent="0.25">
      <c r="A4" s="51" t="s">
        <v>102</v>
      </c>
      <c r="B4" s="70" t="s">
        <v>115</v>
      </c>
      <c r="C4" s="69" t="s">
        <v>103</v>
      </c>
    </row>
    <row r="5" spans="1:18" ht="21" x14ac:dyDescent="0.25">
      <c r="A5" s="51" t="s">
        <v>18</v>
      </c>
      <c r="B5" s="70" t="s">
        <v>120</v>
      </c>
      <c r="C5" s="69" t="s">
        <v>104</v>
      </c>
    </row>
    <row r="6" spans="1:18" ht="31.2" x14ac:dyDescent="0.25">
      <c r="A6" s="51" t="s">
        <v>82</v>
      </c>
      <c r="B6" s="70" t="s">
        <v>94</v>
      </c>
      <c r="C6" s="69" t="s">
        <v>105</v>
      </c>
    </row>
    <row r="7" spans="1:18" ht="21" x14ac:dyDescent="0.25">
      <c r="A7" s="51" t="s">
        <v>22</v>
      </c>
      <c r="B7" s="70" t="s">
        <v>85</v>
      </c>
      <c r="C7" s="69" t="s">
        <v>106</v>
      </c>
    </row>
    <row r="8" spans="1:18" ht="21" x14ac:dyDescent="0.25">
      <c r="A8" s="51" t="s">
        <v>81</v>
      </c>
      <c r="B8" s="70" t="s">
        <v>86</v>
      </c>
      <c r="C8" s="69" t="s">
        <v>107</v>
      </c>
    </row>
    <row r="9" spans="1:18" ht="52.8" x14ac:dyDescent="0.25">
      <c r="A9" s="51" t="s">
        <v>108</v>
      </c>
      <c r="B9" s="74" t="s">
        <v>134</v>
      </c>
      <c r="C9" s="69" t="s">
        <v>41</v>
      </c>
    </row>
    <row r="10" spans="1:18" ht="61.8" x14ac:dyDescent="0.25">
      <c r="A10" s="51" t="s">
        <v>42</v>
      </c>
      <c r="B10" s="70" t="s">
        <v>129</v>
      </c>
      <c r="C10" s="69" t="s">
        <v>43</v>
      </c>
    </row>
    <row r="11" spans="1:18" s="19" customFormat="1" ht="19.95" customHeight="1" x14ac:dyDescent="0.25">
      <c r="A11" s="55" t="s">
        <v>66</v>
      </c>
      <c r="B11" s="55" t="s">
        <v>65</v>
      </c>
      <c r="C11" s="55" t="s">
        <v>47</v>
      </c>
      <c r="D11" s="56" t="s">
        <v>48</v>
      </c>
      <c r="E11"/>
      <c r="F11"/>
      <c r="G11"/>
    </row>
    <row r="12" spans="1:18" ht="21" x14ac:dyDescent="0.25">
      <c r="A12" s="70">
        <v>1</v>
      </c>
      <c r="B12" s="69" t="s">
        <v>122</v>
      </c>
      <c r="D12" s="70"/>
    </row>
    <row r="13" spans="1:18" x14ac:dyDescent="0.25">
      <c r="A13" s="70">
        <v>2</v>
      </c>
      <c r="B13" s="69" t="s">
        <v>123</v>
      </c>
      <c r="C13" s="70" t="s">
        <v>124</v>
      </c>
      <c r="D13" s="70" t="s">
        <v>125</v>
      </c>
    </row>
    <row r="14" spans="1:18" ht="21" x14ac:dyDescent="0.25">
      <c r="A14" s="70">
        <v>3</v>
      </c>
      <c r="B14" s="69" t="s">
        <v>126</v>
      </c>
      <c r="C14" s="70"/>
      <c r="D14" s="70"/>
    </row>
    <row r="15" spans="1:18" ht="41.4" x14ac:dyDescent="0.25">
      <c r="A15" s="70">
        <v>4</v>
      </c>
      <c r="B15" s="69" t="s">
        <v>137</v>
      </c>
      <c r="C15" s="70" t="s">
        <v>135</v>
      </c>
      <c r="D15" s="70" t="s">
        <v>136</v>
      </c>
    </row>
    <row r="16" spans="1:18" ht="70.8" customHeight="1" x14ac:dyDescent="0.25">
      <c r="A16" s="70">
        <v>5</v>
      </c>
      <c r="B16" s="69" t="s">
        <v>138</v>
      </c>
      <c r="C16" s="70" t="s">
        <v>127</v>
      </c>
      <c r="D16" s="70" t="s">
        <v>139</v>
      </c>
    </row>
    <row r="17" spans="1:4" ht="31.2" x14ac:dyDescent="0.25">
      <c r="A17" s="70">
        <v>6</v>
      </c>
      <c r="B17" s="69" t="s">
        <v>140</v>
      </c>
      <c r="C17" s="70" t="s">
        <v>141</v>
      </c>
      <c r="D17" s="70" t="s">
        <v>142</v>
      </c>
    </row>
    <row r="18" spans="1:4" ht="41.4" x14ac:dyDescent="0.25">
      <c r="A18" s="70">
        <v>7</v>
      </c>
      <c r="B18" s="69" t="s">
        <v>144</v>
      </c>
      <c r="C18" s="70" t="s">
        <v>143</v>
      </c>
      <c r="D18" s="70" t="s">
        <v>145</v>
      </c>
    </row>
    <row r="19" spans="1:4" ht="47.4" customHeight="1" x14ac:dyDescent="0.25">
      <c r="A19" s="70">
        <v>8</v>
      </c>
      <c r="B19" s="69" t="s">
        <v>146</v>
      </c>
      <c r="C19" s="70" t="s">
        <v>147</v>
      </c>
      <c r="D19" s="70" t="s">
        <v>148</v>
      </c>
    </row>
    <row r="20" spans="1:4" ht="26.4" x14ac:dyDescent="0.25">
      <c r="A20" s="70">
        <v>9</v>
      </c>
      <c r="B20" s="69" t="s">
        <v>149</v>
      </c>
      <c r="C20" s="70" t="s">
        <v>150</v>
      </c>
      <c r="D20" s="70" t="s">
        <v>151</v>
      </c>
    </row>
    <row r="21" spans="1:4" x14ac:dyDescent="0.25">
      <c r="A21" s="70"/>
      <c r="B21" s="69"/>
      <c r="C21" s="70"/>
      <c r="D21" s="70"/>
    </row>
    <row r="22" spans="1:4" x14ac:dyDescent="0.25">
      <c r="A22" s="70"/>
      <c r="B22" s="70"/>
      <c r="C22" s="70"/>
      <c r="D22" s="70"/>
    </row>
    <row r="23" spans="1:4" x14ac:dyDescent="0.25">
      <c r="A23" s="70"/>
      <c r="B23" s="70"/>
      <c r="C23" s="70"/>
      <c r="D23" s="70"/>
    </row>
    <row r="24" spans="1:4" x14ac:dyDescent="0.25">
      <c r="A24" s="70"/>
      <c r="B24" s="70"/>
      <c r="C24" s="70"/>
      <c r="D24" s="70"/>
    </row>
    <row r="25" spans="1:4" ht="24" customHeight="1" x14ac:dyDescent="0.25">
      <c r="A25" s="56" t="s">
        <v>0</v>
      </c>
      <c r="B25" s="70" t="s">
        <v>29</v>
      </c>
    </row>
    <row r="26" spans="1:4" ht="34.200000000000003" customHeight="1" x14ac:dyDescent="0.25">
      <c r="A26" s="56" t="s">
        <v>1</v>
      </c>
      <c r="B26" s="70"/>
    </row>
  </sheetData>
  <mergeCells count="1">
    <mergeCell ref="A1:R1"/>
  </mergeCells>
  <hyperlinks>
    <hyperlink ref="E2" location="Overview!A1" display="Overview" xr:uid="{BD53B944-8023-451E-89CF-41C3001A9B81}"/>
  </hyperlinks>
  <pageMargins left="0.70866141732283472" right="0.70866141732283472" top="0.74803149606299213" bottom="0.74803149606299213" header="0.31496062992125984" footer="0.31496062992125984"/>
  <pageSetup paperSize="9" scale="44" orientation="portrait" r:id="rId1"/>
  <headerFooter>
    <oddHeader>&amp;LTest Specification RTA&amp;R&amp;G</oddHeader>
    <oddFooter>&amp;LIf printed, this document is an uncontrolled copy.&amp;CConfidential&amp;RPage &amp;P of &amp;N
Template: 00TE00434 V02 - released
File: &amp;F / Sheet: &amp;A</oddFooter>
  </headerFooter>
  <drawing r:id="rId2"/>
  <legacyDrawingHF r:id="rId3"/>
  <extLst>
    <ext xmlns:x14="http://schemas.microsoft.com/office/spreadsheetml/2009/9/main" uri="{CCE6A557-97BC-4b89-ADB6-D9C93CAAB3DF}">
      <x14:dataValidations xmlns:xm="http://schemas.microsoft.com/office/excel/2006/main" count="4">
        <x14:dataValidation type="list" allowBlank="1" showInputMessage="1" showErrorMessage="1" xr:uid="{57497924-82AA-443C-824B-15B919A1B508}">
          <x14:formula1>
            <xm:f>Data!$D$3:$D$12</xm:f>
          </x14:formula1>
          <xm:sqref>B6</xm:sqref>
        </x14:dataValidation>
        <x14:dataValidation type="list" allowBlank="1" showInputMessage="1" showErrorMessage="1" xr:uid="{CBC2E2D0-8364-4544-BE65-2A4B579E80A1}">
          <x14:formula1>
            <xm:f>Data!$E$3:$E$5</xm:f>
          </x14:formula1>
          <xm:sqref>B7</xm:sqref>
        </x14:dataValidation>
        <x14:dataValidation type="list" allowBlank="1" showInputMessage="1" showErrorMessage="1" xr:uid="{3C8E96E5-2522-423D-B053-3200D244D60C}">
          <x14:formula1>
            <xm:f>Data!$B$3:$B$6</xm:f>
          </x14:formula1>
          <xm:sqref>B8</xm:sqref>
        </x14:dataValidation>
        <x14:dataValidation type="list" allowBlank="1" showInputMessage="1" showErrorMessage="1" xr:uid="{3FE74975-EC03-4AEF-BC43-13A611ECD59F}">
          <x14:formula1>
            <xm:f>Data!$F$3:$F$6</xm:f>
          </x14:formula1>
          <xm:sqref>B25</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Meta Data</vt:lpstr>
      <vt:lpstr>Overview</vt:lpstr>
      <vt:lpstr>Summary</vt:lpstr>
      <vt:lpstr>Test specification</vt:lpstr>
      <vt:lpstr>TCXX</vt:lpstr>
      <vt:lpstr>Data</vt:lpstr>
      <vt:lpstr>ReadMe</vt:lpstr>
      <vt:lpstr>TC_1</vt:lpstr>
      <vt:lpstr>LastTestCaseSheetID</vt:lpstr>
      <vt:lpstr>TC_1!Print_Area</vt:lpstr>
      <vt:lpstr>TCXX!Print_Area</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Tran Van Truong</dc:creator>
  <cp:lastModifiedBy>TAN Yang (ETAS/ERS-Sgh)</cp:lastModifiedBy>
  <cp:lastPrinted>2018-09-13T21:01:11Z</cp:lastPrinted>
  <dcterms:created xsi:type="dcterms:W3CDTF">2018-04-11T04:25:24Z</dcterms:created>
  <dcterms:modified xsi:type="dcterms:W3CDTF">2022-12-29T06:09:31Z</dcterms:modified>
</cp:coreProperties>
</file>